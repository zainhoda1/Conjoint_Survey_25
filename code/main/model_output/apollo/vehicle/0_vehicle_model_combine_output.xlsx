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main/model_output/apollo/vehicle/"/>
    </mc:Choice>
  </mc:AlternateContent>
  <xr:revisionPtr revIDLastSave="0" documentId="13_ncr:1_{53510DDF-B793-2B4D-8394-9ACC96312E8B}" xr6:coauthVersionLast="47" xr6:coauthVersionMax="47" xr10:uidLastSave="{00000000-0000-0000-0000-000000000000}"/>
  <bookViews>
    <workbookView xWindow="860" yWindow="740" windowWidth="28880" windowHeight="13480" activeTab="1" xr2:uid="{00000000-000D-0000-FFFF-FFFF00000000}"/>
  </bookViews>
  <sheets>
    <sheet name="coef_fit" sheetId="1" r:id="rId1"/>
    <sheet name="WTP" sheetId="2" r:id="rId2"/>
    <sheet name="Factor_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6" i="2"/>
</calcChain>
</file>

<file path=xl/sharedStrings.xml><?xml version="1.0" encoding="utf-8"?>
<sst xmlns="http://schemas.openxmlformats.org/spreadsheetml/2006/main" count="253" uniqueCount="159">
  <si>
    <t>variables/fit_indices</t>
  </si>
  <si>
    <t>est_m1</t>
  </si>
  <si>
    <t>std_err_m1</t>
  </si>
  <si>
    <t>p_val_m1</t>
  </si>
  <si>
    <t>sig_m1</t>
  </si>
  <si>
    <t>fit_indice_m1</t>
  </si>
  <si>
    <t>est_m2</t>
  </si>
  <si>
    <t>std_err_m2</t>
  </si>
  <si>
    <t>p_val_m2</t>
  </si>
  <si>
    <t>sig_m2</t>
  </si>
  <si>
    <t>fit_indice_m2</t>
  </si>
  <si>
    <t>est_m3</t>
  </si>
  <si>
    <t>std_err_m3</t>
  </si>
  <si>
    <t>p_val_m3</t>
  </si>
  <si>
    <t>sig_m3</t>
  </si>
  <si>
    <t>fit_indice_m3</t>
  </si>
  <si>
    <t>b_no_choice</t>
  </si>
  <si>
    <t>b_powertrainbev</t>
  </si>
  <si>
    <t>b_powertrainphev</t>
  </si>
  <si>
    <t>b_powertrainhev</t>
  </si>
  <si>
    <t>b_range_bev</t>
  </si>
  <si>
    <t>b_range_phev</t>
  </si>
  <si>
    <t>b_mileage</t>
  </si>
  <si>
    <t>b_age</t>
  </si>
  <si>
    <t>b_operating_cost</t>
  </si>
  <si>
    <t>b_price</t>
  </si>
  <si>
    <t>b_no_choice_a</t>
  </si>
  <si>
    <t>b_powertrainbev_a</t>
  </si>
  <si>
    <t>b_powertrainphev_a</t>
  </si>
  <si>
    <t>b_powertrainhev_a</t>
  </si>
  <si>
    <t>b_range_bev_a</t>
  </si>
  <si>
    <t>b_range_phev_a</t>
  </si>
  <si>
    <t>b_mileage_a</t>
  </si>
  <si>
    <t>b_age_a</t>
  </si>
  <si>
    <t>b_operating_cost_a</t>
  </si>
  <si>
    <t>b_price_a</t>
  </si>
  <si>
    <t>b_no_choice_b</t>
  </si>
  <si>
    <t>b_powertrainbev_b</t>
  </si>
  <si>
    <t>b_powertrainphev_b</t>
  </si>
  <si>
    <t>b_powertrainhev_b</t>
  </si>
  <si>
    <t>b_range_bev_b</t>
  </si>
  <si>
    <t>b_range_phev_b</t>
  </si>
  <si>
    <t>b_mileage_b</t>
  </si>
  <si>
    <t>b_age_b</t>
  </si>
  <si>
    <t>b_operating_cost_b</t>
  </si>
  <si>
    <t>b_price_b</t>
  </si>
  <si>
    <t>delta_a</t>
  </si>
  <si>
    <t>gamma_used_bev_a</t>
  </si>
  <si>
    <t>gamma_EV_benefit_a</t>
  </si>
  <si>
    <t>gamma_EV_anxiety_a</t>
  </si>
  <si>
    <t>delta_b</t>
  </si>
  <si>
    <t>gamma_used_bev_b</t>
  </si>
  <si>
    <t>gamma_EV_benefit_b</t>
  </si>
  <si>
    <t>gamma_EV_anxiety_b</t>
  </si>
  <si>
    <t>b_no_choice_c</t>
  </si>
  <si>
    <t>b_powertrainbev_c</t>
  </si>
  <si>
    <t>b_powertrainphev_c</t>
  </si>
  <si>
    <t>b_powertrainhev_c</t>
  </si>
  <si>
    <t>b_range_bev_c</t>
  </si>
  <si>
    <t>b_range_phev_c</t>
  </si>
  <si>
    <t>b_mileage_c</t>
  </si>
  <si>
    <t>b_age_c</t>
  </si>
  <si>
    <t>b_operating_cost_c</t>
  </si>
  <si>
    <t>b_price_c</t>
  </si>
  <si>
    <t>delta_c</t>
  </si>
  <si>
    <t>gamma_used_bev_c</t>
  </si>
  <si>
    <t>gamma_EV_benefit_c</t>
  </si>
  <si>
    <t>gamma_EV_anxiety_c</t>
  </si>
  <si>
    <t xml:space="preserve">Number of individuals                       </t>
  </si>
  <si>
    <t xml:space="preserve">Number of rows in database                  </t>
  </si>
  <si>
    <t xml:space="preserve">LL(start)                                   </t>
  </si>
  <si>
    <t xml:space="preserve">LL (whole model) at equal shares, LL(0)     </t>
  </si>
  <si>
    <t xml:space="preserve">LL (whole model) at observed shares, LL(C)  </t>
  </si>
  <si>
    <t xml:space="preserve">LL(final, whole model)                      </t>
  </si>
  <si>
    <t xml:space="preserve">Rho-squared vs equal shares                  </t>
  </si>
  <si>
    <t xml:space="preserve">Adj.Rho-squared vs equal shares              </t>
  </si>
  <si>
    <t xml:space="preserve">Rho-squared vs observed shares               </t>
  </si>
  <si>
    <t xml:space="preserve">Adj.Rho-squared vs observed shares           </t>
  </si>
  <si>
    <t xml:space="preserve">AIC                                         </t>
  </si>
  <si>
    <t xml:space="preserve">BIC                                         </t>
  </si>
  <si>
    <t>***</t>
  </si>
  <si>
    <t>.</t>
  </si>
  <si>
    <t xml:space="preserve"> </t>
  </si>
  <si>
    <t>334</t>
  </si>
  <si>
    <t>2004</t>
  </si>
  <si>
    <t>-2778.13</t>
  </si>
  <si>
    <t>-2752.33</t>
  </si>
  <si>
    <t>-2521.5</t>
  </si>
  <si>
    <t xml:space="preserve"> 0.0924 </t>
  </si>
  <si>
    <t xml:space="preserve"> 0.0888 </t>
  </si>
  <si>
    <t xml:space="preserve"> 0.0839 </t>
  </si>
  <si>
    <t xml:space="preserve"> 0.0813 </t>
  </si>
  <si>
    <t xml:space="preserve"> 5063 </t>
  </si>
  <si>
    <t xml:space="preserve"> 5119.03 </t>
  </si>
  <si>
    <t>**</t>
  </si>
  <si>
    <t>*</t>
  </si>
  <si>
    <t>-6807.17</t>
  </si>
  <si>
    <t>-2190.07</t>
  </si>
  <si>
    <t xml:space="preserve"> 0.2117 </t>
  </si>
  <si>
    <t xml:space="preserve"> 0.203 </t>
  </si>
  <si>
    <t xml:space="preserve"> 0.2043 </t>
  </si>
  <si>
    <t xml:space="preserve"> 0.1977 </t>
  </si>
  <si>
    <t xml:space="preserve"> 4428.13 </t>
  </si>
  <si>
    <t xml:space="preserve"> 4562.6 </t>
  </si>
  <si>
    <t>-2353.74</t>
  </si>
  <si>
    <t>-2178.17</t>
  </si>
  <si>
    <t xml:space="preserve"> 0.216 </t>
  </si>
  <si>
    <t xml:space="preserve"> 0.2086 </t>
  </si>
  <si>
    <t xml:space="preserve"> 0.1988 </t>
  </si>
  <si>
    <t xml:space="preserve"> 4428.34 </t>
  </si>
  <si>
    <t xml:space="preserve"> 4630.05 </t>
  </si>
  <si>
    <t>Not statistically significant at 90% confidence level</t>
  </si>
  <si>
    <t>Attributes (WTP unit: $10,000)</t>
  </si>
  <si>
    <t>Active Indicators (included in the model)</t>
  </si>
  <si>
    <t>Inactive indicators (only used for describing the class)</t>
  </si>
  <si>
    <t>Class Name</t>
  </si>
  <si>
    <t>Class Characteristics</t>
  </si>
  <si>
    <t>Model</t>
  </si>
  <si>
    <t>class_allocation</t>
  </si>
  <si>
    <t>share</t>
  </si>
  <si>
    <t>n</t>
  </si>
  <si>
    <t>no choice</t>
  </si>
  <si>
    <t>mileage</t>
  </si>
  <si>
    <t>FA_EV_benefit</t>
  </si>
  <si>
    <t>FA_EV_anxiety</t>
  </si>
  <si>
    <t>next_veh_fuel_used_bev</t>
  </si>
  <si>
    <t>10,000 miles on the odometer</t>
  </si>
  <si>
    <t>100 miles of battery range</t>
  </si>
  <si>
    <t>factor score</t>
  </si>
  <si>
    <t>1 to 5 scale</t>
  </si>
  <si>
    <t>base model (one class)</t>
  </si>
  <si>
    <t>NA</t>
  </si>
  <si>
    <t>powertrainbev</t>
  </si>
  <si>
    <t>powertrainphev</t>
  </si>
  <si>
    <t>powertrainhev</t>
  </si>
  <si>
    <t>range_bev</t>
  </si>
  <si>
    <t>range_phev</t>
  </si>
  <si>
    <t>age</t>
  </si>
  <si>
    <t>operating_cost</t>
  </si>
  <si>
    <t>10 miles of battery range</t>
  </si>
  <si>
    <t>one cent per mile</t>
  </si>
  <si>
    <t>one year</t>
  </si>
  <si>
    <t>next_veh_fuel_used_phev</t>
  </si>
  <si>
    <t>3-class (price)</t>
  </si>
  <si>
    <t>Class_1</t>
  </si>
  <si>
    <t>Class_2</t>
  </si>
  <si>
    <t>Class_3</t>
  </si>
  <si>
    <r>
      <rPr>
        <b/>
        <sz val="11"/>
        <color theme="1"/>
        <rFont val="Aptos Narrow"/>
        <scheme val="minor"/>
      </rPr>
      <t>BEV Skeptics:</t>
    </r>
    <r>
      <rPr>
        <sz val="11"/>
        <color theme="1"/>
        <rFont val="Aptos Narrow"/>
        <scheme val="minor"/>
      </rPr>
      <t xml:space="preserve"> Negative attitudes, high anxiety, low used BEV interest</t>
    </r>
  </si>
  <si>
    <r>
      <rPr>
        <b/>
        <sz val="11"/>
        <color theme="1"/>
        <rFont val="Aptos Narrow"/>
        <scheme val="minor"/>
      </rPr>
      <t>BEV Low-anxiety Consumers:</t>
    </r>
    <r>
      <rPr>
        <sz val="11"/>
        <color theme="1"/>
        <rFont val="Aptos Narrow"/>
        <scheme val="minor"/>
      </rPr>
      <t xml:space="preserve"> postive attitudes, least anxiety, moderately Interested in used BEV</t>
    </r>
  </si>
  <si>
    <r>
      <rPr>
        <b/>
        <sz val="11"/>
        <color theme="1"/>
        <rFont val="Aptos Narrow"/>
        <scheme val="minor"/>
      </rPr>
      <t>BEV Cautiously Open Consumers:</t>
    </r>
    <r>
      <rPr>
        <sz val="11"/>
        <color theme="1"/>
        <rFont val="Aptos Narrow"/>
        <scheme val="minor"/>
      </rPr>
      <t xml:space="preserve"> most postive attitudes, anxiety level near neutral, moderately Interested in used BEV</t>
    </r>
  </si>
  <si>
    <t>* very high disutility for selecting a non-ICEV
* highe WTP for additional range and high disutility for mileage, age and operating cost</t>
  </si>
  <si>
    <t>People who are important to me think that I should buy an EV.</t>
  </si>
  <si>
    <t>Driving an EV would eventually result in cost savings.</t>
  </si>
  <si>
    <t>Driving an EV would be beneficial to the environment in the long term.</t>
  </si>
  <si>
    <t>If I owned a BEV, I would often worry about running out of charge.</t>
  </si>
  <si>
    <t>BEVs are less valuable than gasoline cars on the resale market, because the technology is always advancing.</t>
  </si>
  <si>
    <t>The price of an EV is too high.</t>
  </si>
  <si>
    <t>* positive WTP for alternative fuel vehicles, especially PHEV an BEV
* slightly positive WTP for vehicle age, more likely to agree with the statement "Driving an EV would eventually result in cost savings" --&gt; less disutility for the mileage/age, as they are more likely to keep the vehicle for longer</t>
  </si>
  <si>
    <t>* between the other two groups
* disutility for BEV, but positive utility for PHEV and 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</si>
</sst>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9"/>
      <color theme="1"/>
      <name val="Aptos Narrow"/>
      <scheme val="minor"/>
    </font>
    <font>
      <sz val="12"/>
      <color theme="1"/>
      <name val="Aptos Narrow"/>
      <scheme val="minor"/>
    </font>
    <font>
      <sz val="11"/>
      <color indexed="8"/>
      <name val="Aptos Narrow"/>
      <scheme val="minor"/>
    </font>
    <font>
      <sz val="12"/>
      <name val="Aptos Narrow"/>
      <scheme val="minor"/>
    </font>
    <font>
      <b/>
      <sz val="11"/>
      <color rgb="FFFFFFFF"/>
      <name val="Aptos Narrow"/>
      <scheme val="minor"/>
    </font>
    <font>
      <sz val="11"/>
      <color rgb="FFFFFFFF"/>
      <name val="Aptos Narrow"/>
      <scheme val="minor"/>
    </font>
    <font>
      <b/>
      <sz val="11"/>
      <color indexed="8"/>
      <name val="Aptos Narrow"/>
      <scheme val="minor"/>
    </font>
    <font>
      <b/>
      <sz val="12"/>
      <name val="Aptos Narrow"/>
      <scheme val="minor"/>
    </font>
    <font>
      <sz val="12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wrapText="1"/>
    </xf>
    <xf numFmtId="0" fontId="3" fillId="0" borderId="0" xfId="0" applyFont="1"/>
    <xf numFmtId="9" fontId="4" fillId="0" borderId="0" xfId="1" applyFont="1" applyAlignment="1">
      <alignment wrapText="1"/>
    </xf>
    <xf numFmtId="1" fontId="4" fillId="0" borderId="0" xfId="0" applyNumberFormat="1" applyFont="1" applyAlignment="1">
      <alignment wrapText="1"/>
    </xf>
    <xf numFmtId="2" fontId="4" fillId="2" borderId="0" xfId="0" applyNumberFormat="1" applyFont="1" applyFill="1" applyAlignment="1">
      <alignment horizontal="center" wrapText="1"/>
    </xf>
    <xf numFmtId="2" fontId="4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2" fontId="5" fillId="2" borderId="0" xfId="0" applyNumberFormat="1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2" fontId="6" fillId="0" borderId="0" xfId="0" applyNumberFormat="1" applyFont="1" applyAlignment="1">
      <alignment wrapText="1"/>
    </xf>
    <xf numFmtId="9" fontId="6" fillId="0" borderId="0" xfId="1" applyFont="1" applyAlignment="1">
      <alignment wrapText="1"/>
    </xf>
    <xf numFmtId="1" fontId="6" fillId="0" borderId="0" xfId="0" applyNumberFormat="1" applyFont="1" applyAlignment="1">
      <alignment wrapText="1"/>
    </xf>
    <xf numFmtId="2" fontId="7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9" fontId="7" fillId="0" borderId="0" xfId="1" applyFont="1" applyAlignment="1">
      <alignment wrapText="1"/>
    </xf>
    <xf numFmtId="1" fontId="7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164" fontId="9" fillId="0" borderId="0" xfId="0" applyNumberFormat="1" applyFont="1"/>
    <xf numFmtId="9" fontId="8" fillId="0" borderId="0" xfId="1" applyFont="1"/>
    <xf numFmtId="0" fontId="10" fillId="0" borderId="0" xfId="0" applyFont="1"/>
    <xf numFmtId="0" fontId="11" fillId="0" borderId="0" xfId="0" applyFont="1"/>
    <xf numFmtId="2" fontId="8" fillId="0" borderId="0" xfId="0" applyNumberFormat="1" applyFont="1"/>
    <xf numFmtId="1" fontId="8" fillId="0" borderId="0" xfId="0" applyNumberFormat="1" applyFont="1"/>
    <xf numFmtId="2" fontId="9" fillId="0" borderId="0" xfId="0" applyNumberFormat="1" applyFont="1"/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wrapText="1"/>
    </xf>
    <xf numFmtId="0" fontId="14" fillId="0" borderId="0" xfId="0" applyFont="1"/>
    <xf numFmtId="0" fontId="8" fillId="0" borderId="0" xfId="0" applyFont="1" applyAlignment="1">
      <alignment horizontal="center"/>
    </xf>
    <xf numFmtId="2" fontId="8" fillId="4" borderId="0" xfId="0" applyNumberFormat="1" applyFont="1" applyFill="1"/>
    <xf numFmtId="164" fontId="8" fillId="4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4000500</xdr:colOff>
      <xdr:row>25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9E9AE-110E-3548-BB93-6A7A0858A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3000"/>
          <a:ext cx="4000500" cy="2671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opLeftCell="A23" workbookViewId="0">
      <selection activeCell="A32" sqref="A32:XFD32"/>
    </sheetView>
  </sheetViews>
  <sheetFormatPr baseColWidth="10" defaultColWidth="8.83203125" defaultRowHeight="15" x14ac:dyDescent="0.2"/>
  <cols>
    <col min="1" max="1" width="26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-3.5</v>
      </c>
      <c r="C2">
        <v>0.26800000000000002</v>
      </c>
      <c r="D2">
        <v>0</v>
      </c>
      <c r="E2" t="s">
        <v>80</v>
      </c>
    </row>
    <row r="3" spans="1:16" x14ac:dyDescent="0.2">
      <c r="A3" t="s">
        <v>17</v>
      </c>
      <c r="B3">
        <v>-1.4950000000000001</v>
      </c>
      <c r="C3">
        <v>0.215</v>
      </c>
      <c r="D3">
        <v>0</v>
      </c>
      <c r="E3" t="s">
        <v>80</v>
      </c>
    </row>
    <row r="4" spans="1:16" x14ac:dyDescent="0.2">
      <c r="A4" t="s">
        <v>18</v>
      </c>
      <c r="B4">
        <v>-1.0589999999999999</v>
      </c>
      <c r="C4">
        <v>0.188</v>
      </c>
      <c r="D4">
        <v>0</v>
      </c>
      <c r="E4" t="s">
        <v>80</v>
      </c>
    </row>
    <row r="5" spans="1:16" x14ac:dyDescent="0.2">
      <c r="A5" t="s">
        <v>19</v>
      </c>
      <c r="B5">
        <v>-0.19400000000000001</v>
      </c>
      <c r="C5">
        <v>0.1</v>
      </c>
      <c r="D5">
        <v>5.1999999999999998E-2</v>
      </c>
      <c r="E5" t="s">
        <v>81</v>
      </c>
    </row>
    <row r="6" spans="1:16" x14ac:dyDescent="0.2">
      <c r="A6" t="s">
        <v>20</v>
      </c>
      <c r="B6">
        <v>0.16600000000000001</v>
      </c>
      <c r="C6">
        <v>0.10199999999999999</v>
      </c>
      <c r="D6">
        <v>0.10199999999999999</v>
      </c>
      <c r="E6" t="s">
        <v>82</v>
      </c>
    </row>
    <row r="7" spans="1:16" x14ac:dyDescent="0.2">
      <c r="A7" t="s">
        <v>21</v>
      </c>
      <c r="B7">
        <v>-1.6E-2</v>
      </c>
      <c r="C7">
        <v>5.6000000000000001E-2</v>
      </c>
      <c r="D7">
        <v>0.77700000000000002</v>
      </c>
      <c r="E7" t="s">
        <v>82</v>
      </c>
    </row>
    <row r="8" spans="1:16" x14ac:dyDescent="0.2">
      <c r="A8" t="s">
        <v>22</v>
      </c>
      <c r="B8">
        <v>-0.17499999999999999</v>
      </c>
      <c r="C8">
        <v>2.4E-2</v>
      </c>
      <c r="D8">
        <v>0</v>
      </c>
      <c r="E8" t="s">
        <v>80</v>
      </c>
    </row>
    <row r="9" spans="1:16" x14ac:dyDescent="0.2">
      <c r="A9" t="s">
        <v>23</v>
      </c>
      <c r="B9">
        <v>-0.109</v>
      </c>
      <c r="C9">
        <v>1.2E-2</v>
      </c>
      <c r="D9">
        <v>0</v>
      </c>
      <c r="E9" t="s">
        <v>80</v>
      </c>
    </row>
    <row r="10" spans="1:16" x14ac:dyDescent="0.2">
      <c r="A10" t="s">
        <v>24</v>
      </c>
      <c r="B10">
        <v>-0.04</v>
      </c>
      <c r="C10">
        <v>0.01</v>
      </c>
      <c r="D10">
        <v>0</v>
      </c>
      <c r="E10" t="s">
        <v>80</v>
      </c>
    </row>
    <row r="11" spans="1:16" x14ac:dyDescent="0.2">
      <c r="A11" t="s">
        <v>25</v>
      </c>
      <c r="B11">
        <v>-0.27600000000000002</v>
      </c>
      <c r="C11">
        <v>6.3E-2</v>
      </c>
      <c r="D11">
        <v>0</v>
      </c>
      <c r="E11" t="s">
        <v>80</v>
      </c>
    </row>
    <row r="12" spans="1:16" x14ac:dyDescent="0.2">
      <c r="A12" t="s">
        <v>26</v>
      </c>
      <c r="G12">
        <v>-4.6440000000000001</v>
      </c>
      <c r="H12">
        <v>0.5</v>
      </c>
      <c r="I12">
        <v>0</v>
      </c>
      <c r="J12" t="s">
        <v>80</v>
      </c>
      <c r="L12">
        <v>-4.6459999999999999</v>
      </c>
      <c r="M12">
        <v>0.63800000000000001</v>
      </c>
      <c r="N12">
        <v>0</v>
      </c>
      <c r="O12" t="s">
        <v>80</v>
      </c>
    </row>
    <row r="13" spans="1:16" x14ac:dyDescent="0.2">
      <c r="A13" t="s">
        <v>27</v>
      </c>
      <c r="G13">
        <v>-8.7110000000000003</v>
      </c>
      <c r="H13">
        <v>1.9590000000000001</v>
      </c>
      <c r="I13">
        <v>0</v>
      </c>
      <c r="J13" t="s">
        <v>80</v>
      </c>
      <c r="L13">
        <v>-8.1389999999999993</v>
      </c>
      <c r="M13">
        <v>3.3069999999999999</v>
      </c>
      <c r="N13">
        <v>1.4E-2</v>
      </c>
      <c r="O13" t="s">
        <v>95</v>
      </c>
    </row>
    <row r="14" spans="1:16" x14ac:dyDescent="0.2">
      <c r="A14" t="s">
        <v>28</v>
      </c>
      <c r="G14">
        <v>-3.3159999999999998</v>
      </c>
      <c r="H14">
        <v>0.42099999999999999</v>
      </c>
      <c r="I14">
        <v>0</v>
      </c>
      <c r="J14" t="s">
        <v>80</v>
      </c>
      <c r="L14">
        <v>-3.5819999999999999</v>
      </c>
      <c r="M14">
        <v>0.64200000000000002</v>
      </c>
      <c r="N14">
        <v>0</v>
      </c>
      <c r="O14" t="s">
        <v>80</v>
      </c>
    </row>
    <row r="15" spans="1:16" x14ac:dyDescent="0.2">
      <c r="A15" t="s">
        <v>29</v>
      </c>
      <c r="G15">
        <v>-1.2609999999999999</v>
      </c>
      <c r="H15">
        <v>0.23</v>
      </c>
      <c r="I15">
        <v>0</v>
      </c>
      <c r="J15" t="s">
        <v>80</v>
      </c>
      <c r="L15">
        <v>-1.3260000000000001</v>
      </c>
      <c r="M15">
        <v>0.35799999999999998</v>
      </c>
      <c r="N15">
        <v>0</v>
      </c>
      <c r="O15" t="s">
        <v>80</v>
      </c>
    </row>
    <row r="16" spans="1:16" x14ac:dyDescent="0.2">
      <c r="A16" t="s">
        <v>30</v>
      </c>
      <c r="G16">
        <v>2.2549999999999999</v>
      </c>
      <c r="H16">
        <v>0.77800000000000002</v>
      </c>
      <c r="I16">
        <v>4.0000000000000001E-3</v>
      </c>
      <c r="J16" t="s">
        <v>94</v>
      </c>
      <c r="L16">
        <v>1.806</v>
      </c>
      <c r="M16">
        <v>1.333</v>
      </c>
      <c r="N16">
        <v>0.17599999999999999</v>
      </c>
      <c r="O16" t="s">
        <v>82</v>
      </c>
    </row>
    <row r="17" spans="1:15" x14ac:dyDescent="0.2">
      <c r="A17" t="s">
        <v>31</v>
      </c>
      <c r="G17">
        <v>8.1000000000000003E-2</v>
      </c>
      <c r="H17">
        <v>0.13200000000000001</v>
      </c>
      <c r="I17">
        <v>0.54</v>
      </c>
      <c r="J17" t="s">
        <v>82</v>
      </c>
      <c r="L17">
        <v>0.123</v>
      </c>
      <c r="M17">
        <v>0.19400000000000001</v>
      </c>
      <c r="N17">
        <v>0.52700000000000002</v>
      </c>
      <c r="O17" t="s">
        <v>82</v>
      </c>
    </row>
    <row r="18" spans="1:15" x14ac:dyDescent="0.2">
      <c r="A18" t="s">
        <v>32</v>
      </c>
      <c r="G18">
        <v>-0.26700000000000002</v>
      </c>
      <c r="H18">
        <v>5.7000000000000002E-2</v>
      </c>
      <c r="I18">
        <v>0</v>
      </c>
      <c r="J18" t="s">
        <v>80</v>
      </c>
      <c r="L18">
        <v>-0.28000000000000003</v>
      </c>
      <c r="M18">
        <v>8.3000000000000004E-2</v>
      </c>
      <c r="N18">
        <v>1E-3</v>
      </c>
      <c r="O18" t="s">
        <v>80</v>
      </c>
    </row>
    <row r="19" spans="1:15" x14ac:dyDescent="0.2">
      <c r="A19" t="s">
        <v>33</v>
      </c>
      <c r="G19">
        <v>-0.13500000000000001</v>
      </c>
      <c r="H19">
        <v>2.4E-2</v>
      </c>
      <c r="I19">
        <v>0</v>
      </c>
      <c r="J19" t="s">
        <v>80</v>
      </c>
      <c r="L19">
        <v>-0.14399999999999999</v>
      </c>
      <c r="M19">
        <v>0.03</v>
      </c>
      <c r="N19">
        <v>0</v>
      </c>
      <c r="O19" t="s">
        <v>80</v>
      </c>
    </row>
    <row r="20" spans="1:15" x14ac:dyDescent="0.2">
      <c r="A20" t="s">
        <v>34</v>
      </c>
      <c r="G20">
        <v>-4.8000000000000001E-2</v>
      </c>
      <c r="H20">
        <v>0.02</v>
      </c>
      <c r="I20">
        <v>1.6E-2</v>
      </c>
      <c r="J20" t="s">
        <v>95</v>
      </c>
      <c r="L20">
        <v>-4.1000000000000002E-2</v>
      </c>
      <c r="M20">
        <v>2.4E-2</v>
      </c>
      <c r="N20">
        <v>7.9000000000000001E-2</v>
      </c>
      <c r="O20" t="s">
        <v>81</v>
      </c>
    </row>
    <row r="21" spans="1:15" x14ac:dyDescent="0.2">
      <c r="A21" t="s">
        <v>35</v>
      </c>
      <c r="G21">
        <v>-0.48499999999999999</v>
      </c>
      <c r="H21">
        <v>8.5999999999999993E-2</v>
      </c>
      <c r="I21">
        <v>0</v>
      </c>
      <c r="J21" t="s">
        <v>80</v>
      </c>
      <c r="L21">
        <v>-0.39900000000000002</v>
      </c>
      <c r="M21">
        <v>0.11899999999999999</v>
      </c>
      <c r="N21">
        <v>1E-3</v>
      </c>
      <c r="O21" t="s">
        <v>80</v>
      </c>
    </row>
    <row r="22" spans="1:15" x14ac:dyDescent="0.2">
      <c r="A22" t="s">
        <v>36</v>
      </c>
      <c r="G22">
        <v>-5.2619999999999996</v>
      </c>
      <c r="H22">
        <v>0.57699999999999996</v>
      </c>
      <c r="I22">
        <v>0</v>
      </c>
      <c r="J22" t="s">
        <v>80</v>
      </c>
      <c r="L22">
        <v>-6.7569999999999997</v>
      </c>
      <c r="M22">
        <v>0.72699999999999998</v>
      </c>
      <c r="N22">
        <v>0</v>
      </c>
      <c r="O22" t="s">
        <v>80</v>
      </c>
    </row>
    <row r="23" spans="1:15" x14ac:dyDescent="0.2">
      <c r="A23" t="s">
        <v>37</v>
      </c>
      <c r="G23">
        <v>-0.21199999999999999</v>
      </c>
      <c r="H23">
        <v>0.27600000000000002</v>
      </c>
      <c r="I23">
        <v>0.442</v>
      </c>
      <c r="J23" t="s">
        <v>82</v>
      </c>
      <c r="L23">
        <v>-0.37</v>
      </c>
      <c r="M23">
        <v>0.42</v>
      </c>
      <c r="N23">
        <v>0.379</v>
      </c>
      <c r="O23" t="s">
        <v>82</v>
      </c>
    </row>
    <row r="24" spans="1:15" x14ac:dyDescent="0.2">
      <c r="A24" t="s">
        <v>38</v>
      </c>
      <c r="G24">
        <v>0.161</v>
      </c>
      <c r="H24">
        <v>0.246</v>
      </c>
      <c r="I24">
        <v>0.51300000000000001</v>
      </c>
      <c r="J24" t="s">
        <v>82</v>
      </c>
      <c r="L24">
        <v>8.5999999999999993E-2</v>
      </c>
      <c r="M24">
        <v>0.309</v>
      </c>
      <c r="N24">
        <v>0.78200000000000003</v>
      </c>
      <c r="O24" t="s">
        <v>82</v>
      </c>
    </row>
    <row r="25" spans="1:15" x14ac:dyDescent="0.2">
      <c r="A25" t="s">
        <v>39</v>
      </c>
      <c r="G25">
        <v>0.63200000000000001</v>
      </c>
      <c r="H25">
        <v>0.126</v>
      </c>
      <c r="I25">
        <v>0</v>
      </c>
      <c r="J25" t="s">
        <v>80</v>
      </c>
      <c r="L25">
        <v>0.63200000000000001</v>
      </c>
      <c r="M25">
        <v>0.16900000000000001</v>
      </c>
      <c r="N25">
        <v>0</v>
      </c>
      <c r="O25" t="s">
        <v>80</v>
      </c>
    </row>
    <row r="26" spans="1:15" x14ac:dyDescent="0.2">
      <c r="A26" t="s">
        <v>40</v>
      </c>
      <c r="G26">
        <v>0.153</v>
      </c>
      <c r="H26">
        <v>0.123</v>
      </c>
      <c r="I26">
        <v>0.215</v>
      </c>
      <c r="J26" t="s">
        <v>82</v>
      </c>
      <c r="L26">
        <v>0.16400000000000001</v>
      </c>
      <c r="M26">
        <v>0.155</v>
      </c>
      <c r="N26">
        <v>0.28999999999999998</v>
      </c>
      <c r="O26" t="s">
        <v>82</v>
      </c>
    </row>
    <row r="27" spans="1:15" x14ac:dyDescent="0.2">
      <c r="A27" t="s">
        <v>41</v>
      </c>
      <c r="G27">
        <v>-5.3999999999999999E-2</v>
      </c>
      <c r="H27">
        <v>7.0000000000000007E-2</v>
      </c>
      <c r="I27">
        <v>0.439</v>
      </c>
      <c r="J27" t="s">
        <v>82</v>
      </c>
      <c r="L27">
        <v>-4.9000000000000002E-2</v>
      </c>
      <c r="M27">
        <v>8.3000000000000004E-2</v>
      </c>
      <c r="N27">
        <v>0.56000000000000005</v>
      </c>
      <c r="O27" t="s">
        <v>82</v>
      </c>
    </row>
    <row r="28" spans="1:15" x14ac:dyDescent="0.2">
      <c r="A28" t="s">
        <v>42</v>
      </c>
      <c r="G28">
        <v>-0.14199999999999999</v>
      </c>
      <c r="H28">
        <v>3.2000000000000001E-2</v>
      </c>
      <c r="I28">
        <v>0</v>
      </c>
      <c r="J28" t="s">
        <v>80</v>
      </c>
      <c r="L28">
        <v>-0.14499999999999999</v>
      </c>
      <c r="M28">
        <v>4.2000000000000003E-2</v>
      </c>
      <c r="N28">
        <v>1E-3</v>
      </c>
      <c r="O28" t="s">
        <v>80</v>
      </c>
    </row>
    <row r="29" spans="1:15" x14ac:dyDescent="0.2">
      <c r="A29" t="s">
        <v>43</v>
      </c>
      <c r="G29">
        <v>-0.111</v>
      </c>
      <c r="H29">
        <v>1.7000000000000001E-2</v>
      </c>
      <c r="I29">
        <v>0</v>
      </c>
      <c r="J29" t="s">
        <v>80</v>
      </c>
      <c r="L29">
        <v>-0.124</v>
      </c>
      <c r="M29">
        <v>2.4E-2</v>
      </c>
      <c r="N29">
        <v>0</v>
      </c>
      <c r="O29" t="s">
        <v>80</v>
      </c>
    </row>
    <row r="30" spans="1:15" x14ac:dyDescent="0.2">
      <c r="A30" t="s">
        <v>44</v>
      </c>
      <c r="G30">
        <v>-4.9000000000000002E-2</v>
      </c>
      <c r="H30">
        <v>1.2999999999999999E-2</v>
      </c>
      <c r="I30">
        <v>0</v>
      </c>
      <c r="J30" t="s">
        <v>80</v>
      </c>
      <c r="L30">
        <v>-5.0999999999999997E-2</v>
      </c>
      <c r="M30">
        <v>1.4999999999999999E-2</v>
      </c>
      <c r="N30">
        <v>1E-3</v>
      </c>
      <c r="O30" t="s">
        <v>80</v>
      </c>
    </row>
    <row r="31" spans="1:15" x14ac:dyDescent="0.2">
      <c r="A31" t="s">
        <v>45</v>
      </c>
      <c r="G31">
        <v>-0.48299999999999998</v>
      </c>
      <c r="H31">
        <v>0.111</v>
      </c>
      <c r="I31">
        <v>0</v>
      </c>
      <c r="J31" t="s">
        <v>80</v>
      </c>
      <c r="L31">
        <v>-0.64800000000000002</v>
      </c>
      <c r="M31">
        <v>0.11899999999999999</v>
      </c>
      <c r="N31">
        <v>0</v>
      </c>
      <c r="O31" t="s">
        <v>80</v>
      </c>
    </row>
    <row r="32" spans="1:15" x14ac:dyDescent="0.2">
      <c r="A32" t="s">
        <v>54</v>
      </c>
      <c r="L32">
        <v>-3.0840000000000001</v>
      </c>
      <c r="M32">
        <v>1.6220000000000001</v>
      </c>
      <c r="N32">
        <v>5.7000000000000002E-2</v>
      </c>
      <c r="O32" t="s">
        <v>81</v>
      </c>
    </row>
    <row r="33" spans="1:15" x14ac:dyDescent="0.2">
      <c r="A33" t="s">
        <v>55</v>
      </c>
      <c r="L33">
        <v>0.35499999999999998</v>
      </c>
      <c r="M33">
        <v>1.115</v>
      </c>
      <c r="N33">
        <v>0.75</v>
      </c>
      <c r="O33" t="s">
        <v>82</v>
      </c>
    </row>
    <row r="34" spans="1:15" x14ac:dyDescent="0.2">
      <c r="A34" t="s">
        <v>56</v>
      </c>
      <c r="L34">
        <v>0.51200000000000001</v>
      </c>
      <c r="M34">
        <v>0.98299999999999998</v>
      </c>
      <c r="N34">
        <v>0.60299999999999998</v>
      </c>
      <c r="O34" t="s">
        <v>82</v>
      </c>
    </row>
    <row r="35" spans="1:15" x14ac:dyDescent="0.2">
      <c r="A35" t="s">
        <v>57</v>
      </c>
      <c r="L35">
        <v>0.51</v>
      </c>
      <c r="M35">
        <v>1.1359999999999999</v>
      </c>
      <c r="N35">
        <v>0.65300000000000002</v>
      </c>
      <c r="O35" t="s">
        <v>82</v>
      </c>
    </row>
    <row r="36" spans="1:15" x14ac:dyDescent="0.2">
      <c r="A36" t="s">
        <v>58</v>
      </c>
      <c r="L36">
        <v>0.32900000000000001</v>
      </c>
      <c r="M36">
        <v>0.64100000000000001</v>
      </c>
      <c r="N36">
        <v>0.60799999999999998</v>
      </c>
      <c r="O36" t="s">
        <v>82</v>
      </c>
    </row>
    <row r="37" spans="1:15" x14ac:dyDescent="0.2">
      <c r="A37" t="s">
        <v>59</v>
      </c>
      <c r="L37">
        <v>-0.09</v>
      </c>
      <c r="M37">
        <v>0.23100000000000001</v>
      </c>
      <c r="N37">
        <v>0.69599999999999995</v>
      </c>
      <c r="O37" t="s">
        <v>82</v>
      </c>
    </row>
    <row r="38" spans="1:15" x14ac:dyDescent="0.2">
      <c r="A38" t="s">
        <v>60</v>
      </c>
      <c r="L38">
        <v>-0.222</v>
      </c>
      <c r="M38">
        <v>0.16600000000000001</v>
      </c>
      <c r="N38">
        <v>0.182</v>
      </c>
      <c r="O38" t="s">
        <v>82</v>
      </c>
    </row>
    <row r="39" spans="1:15" x14ac:dyDescent="0.2">
      <c r="A39" t="s">
        <v>61</v>
      </c>
      <c r="L39">
        <v>3.0000000000000001E-3</v>
      </c>
      <c r="M39">
        <v>9.0999999999999998E-2</v>
      </c>
      <c r="N39">
        <v>0.97399999999999998</v>
      </c>
      <c r="O39" t="s">
        <v>82</v>
      </c>
    </row>
    <row r="40" spans="1:15" x14ac:dyDescent="0.2">
      <c r="A40" t="s">
        <v>62</v>
      </c>
      <c r="L40">
        <v>-6.8000000000000005E-2</v>
      </c>
      <c r="M40">
        <v>7.0000000000000007E-2</v>
      </c>
      <c r="N40">
        <v>0.33</v>
      </c>
      <c r="O40" t="s">
        <v>82</v>
      </c>
    </row>
    <row r="41" spans="1:15" x14ac:dyDescent="0.2">
      <c r="A41" t="s">
        <v>63</v>
      </c>
      <c r="L41">
        <v>-1.1439999999999999</v>
      </c>
      <c r="M41">
        <v>0.55600000000000005</v>
      </c>
      <c r="N41">
        <v>0.04</v>
      </c>
      <c r="O41" t="s">
        <v>95</v>
      </c>
    </row>
    <row r="42" spans="1:15" x14ac:dyDescent="0.2">
      <c r="A42" t="s">
        <v>46</v>
      </c>
      <c r="G42">
        <v>0</v>
      </c>
      <c r="J42" t="s">
        <v>82</v>
      </c>
      <c r="L42">
        <v>0</v>
      </c>
      <c r="O42" t="s">
        <v>82</v>
      </c>
    </row>
    <row r="43" spans="1:15" x14ac:dyDescent="0.2">
      <c r="A43" t="s">
        <v>47</v>
      </c>
      <c r="G43">
        <v>0</v>
      </c>
      <c r="J43" t="s">
        <v>82</v>
      </c>
      <c r="L43">
        <v>0</v>
      </c>
      <c r="O43" t="s">
        <v>82</v>
      </c>
    </row>
    <row r="44" spans="1:15" x14ac:dyDescent="0.2">
      <c r="A44" t="s">
        <v>48</v>
      </c>
      <c r="G44">
        <v>0</v>
      </c>
      <c r="J44" t="s">
        <v>82</v>
      </c>
      <c r="L44">
        <v>0</v>
      </c>
      <c r="O44" t="s">
        <v>82</v>
      </c>
    </row>
    <row r="45" spans="1:15" x14ac:dyDescent="0.2">
      <c r="A45" t="s">
        <v>49</v>
      </c>
      <c r="G45">
        <v>0</v>
      </c>
      <c r="J45" t="s">
        <v>82</v>
      </c>
      <c r="L45">
        <v>0</v>
      </c>
      <c r="O45" t="s">
        <v>82</v>
      </c>
    </row>
    <row r="46" spans="1:15" x14ac:dyDescent="0.2">
      <c r="A46" t="s">
        <v>50</v>
      </c>
      <c r="G46">
        <v>-1.778</v>
      </c>
      <c r="H46">
        <v>0.4</v>
      </c>
      <c r="I46">
        <v>0</v>
      </c>
      <c r="J46" t="s">
        <v>80</v>
      </c>
      <c r="L46">
        <v>0.22900000000000001</v>
      </c>
      <c r="M46">
        <v>0.38500000000000001</v>
      </c>
      <c r="N46">
        <v>0.55200000000000005</v>
      </c>
      <c r="O46" t="s">
        <v>82</v>
      </c>
    </row>
    <row r="47" spans="1:15" x14ac:dyDescent="0.2">
      <c r="A47" t="s">
        <v>51</v>
      </c>
      <c r="G47">
        <v>0.83599999999999997</v>
      </c>
      <c r="H47">
        <v>0.14899999999999999</v>
      </c>
      <c r="I47">
        <v>0</v>
      </c>
      <c r="J47" t="s">
        <v>80</v>
      </c>
      <c r="L47">
        <v>0</v>
      </c>
      <c r="O47" t="s">
        <v>82</v>
      </c>
    </row>
    <row r="48" spans="1:15" x14ac:dyDescent="0.2">
      <c r="A48" t="s">
        <v>52</v>
      </c>
      <c r="G48">
        <v>0.69499999999999995</v>
      </c>
      <c r="H48">
        <v>0.17399999999999999</v>
      </c>
      <c r="I48">
        <v>0</v>
      </c>
      <c r="J48" t="s">
        <v>80</v>
      </c>
      <c r="L48">
        <v>1.2829999999999999</v>
      </c>
      <c r="M48">
        <v>0.35099999999999998</v>
      </c>
      <c r="N48">
        <v>0</v>
      </c>
      <c r="O48" t="s">
        <v>80</v>
      </c>
    </row>
    <row r="49" spans="1:16" x14ac:dyDescent="0.2">
      <c r="A49" t="s">
        <v>53</v>
      </c>
      <c r="G49">
        <v>-0.27</v>
      </c>
      <c r="H49">
        <v>0.157</v>
      </c>
      <c r="I49">
        <v>8.5999999999999993E-2</v>
      </c>
      <c r="J49" t="s">
        <v>81</v>
      </c>
      <c r="L49">
        <v>-0.47</v>
      </c>
      <c r="M49">
        <v>0.155</v>
      </c>
      <c r="N49">
        <v>2E-3</v>
      </c>
      <c r="O49" t="s">
        <v>94</v>
      </c>
    </row>
    <row r="50" spans="1:16" x14ac:dyDescent="0.2">
      <c r="A50" t="s">
        <v>64</v>
      </c>
      <c r="L50">
        <v>-1.3919999999999999</v>
      </c>
      <c r="M50">
        <v>0.505</v>
      </c>
      <c r="N50">
        <v>6.0000000000000001E-3</v>
      </c>
      <c r="O50" t="s">
        <v>94</v>
      </c>
    </row>
    <row r="51" spans="1:16" x14ac:dyDescent="0.2">
      <c r="A51" t="s">
        <v>65</v>
      </c>
      <c r="L51">
        <v>0</v>
      </c>
      <c r="O51" t="s">
        <v>82</v>
      </c>
    </row>
    <row r="52" spans="1:16" x14ac:dyDescent="0.2">
      <c r="A52" t="s">
        <v>66</v>
      </c>
      <c r="L52">
        <v>0.77800000000000002</v>
      </c>
      <c r="M52">
        <v>0.48599999999999999</v>
      </c>
      <c r="N52">
        <v>0.109</v>
      </c>
      <c r="O52" t="s">
        <v>82</v>
      </c>
    </row>
    <row r="53" spans="1:16" x14ac:dyDescent="0.2">
      <c r="A53" t="s">
        <v>67</v>
      </c>
      <c r="L53">
        <v>-0.52600000000000002</v>
      </c>
      <c r="M53">
        <v>0.24399999999999999</v>
      </c>
      <c r="N53">
        <v>3.1E-2</v>
      </c>
      <c r="O53" t="s">
        <v>95</v>
      </c>
    </row>
    <row r="56" spans="1:16" x14ac:dyDescent="0.2">
      <c r="A56" t="s">
        <v>68</v>
      </c>
      <c r="F56" t="s">
        <v>83</v>
      </c>
      <c r="K56" t="s">
        <v>83</v>
      </c>
      <c r="P56" t="s">
        <v>83</v>
      </c>
    </row>
    <row r="57" spans="1:16" x14ac:dyDescent="0.2">
      <c r="A57" t="s">
        <v>69</v>
      </c>
      <c r="F57" t="s">
        <v>84</v>
      </c>
      <c r="K57" t="s">
        <v>84</v>
      </c>
      <c r="P57" t="s">
        <v>84</v>
      </c>
    </row>
    <row r="58" spans="1:16" x14ac:dyDescent="0.2">
      <c r="A58" t="s">
        <v>70</v>
      </c>
      <c r="F58" t="s">
        <v>85</v>
      </c>
      <c r="K58" t="s">
        <v>96</v>
      </c>
      <c r="P58" t="s">
        <v>104</v>
      </c>
    </row>
    <row r="59" spans="1:16" x14ac:dyDescent="0.2">
      <c r="A59" t="s">
        <v>71</v>
      </c>
      <c r="F59" t="s">
        <v>85</v>
      </c>
      <c r="K59" t="s">
        <v>85</v>
      </c>
      <c r="P59" t="s">
        <v>85</v>
      </c>
    </row>
    <row r="60" spans="1:16" x14ac:dyDescent="0.2">
      <c r="A60" t="s">
        <v>72</v>
      </c>
      <c r="F60" t="s">
        <v>86</v>
      </c>
      <c r="K60" t="s">
        <v>86</v>
      </c>
      <c r="P60" t="s">
        <v>86</v>
      </c>
    </row>
    <row r="61" spans="1:16" x14ac:dyDescent="0.2">
      <c r="A61" t="s">
        <v>73</v>
      </c>
      <c r="F61" t="s">
        <v>87</v>
      </c>
      <c r="K61" t="s">
        <v>97</v>
      </c>
      <c r="P61" t="s">
        <v>105</v>
      </c>
    </row>
    <row r="62" spans="1:16" x14ac:dyDescent="0.2">
      <c r="A62" t="s">
        <v>74</v>
      </c>
      <c r="F62" t="s">
        <v>88</v>
      </c>
      <c r="K62" t="s">
        <v>98</v>
      </c>
      <c r="P62" t="s">
        <v>106</v>
      </c>
    </row>
    <row r="63" spans="1:16" x14ac:dyDescent="0.2">
      <c r="A63" t="s">
        <v>75</v>
      </c>
      <c r="F63" t="s">
        <v>89</v>
      </c>
      <c r="K63" t="s">
        <v>99</v>
      </c>
      <c r="P63" t="s">
        <v>99</v>
      </c>
    </row>
    <row r="64" spans="1:16" x14ac:dyDescent="0.2">
      <c r="A64" t="s">
        <v>76</v>
      </c>
      <c r="F64" t="s">
        <v>90</v>
      </c>
      <c r="K64" t="s">
        <v>100</v>
      </c>
      <c r="P64" t="s">
        <v>107</v>
      </c>
    </row>
    <row r="65" spans="1:16" x14ac:dyDescent="0.2">
      <c r="A65" t="s">
        <v>77</v>
      </c>
      <c r="F65" t="s">
        <v>91</v>
      </c>
      <c r="K65" t="s">
        <v>101</v>
      </c>
      <c r="P65" t="s">
        <v>108</v>
      </c>
    </row>
    <row r="66" spans="1:16" x14ac:dyDescent="0.2">
      <c r="A66" t="s">
        <v>78</v>
      </c>
      <c r="F66" t="s">
        <v>92</v>
      </c>
      <c r="K66" t="s">
        <v>102</v>
      </c>
      <c r="P66" s="1" t="s">
        <v>109</v>
      </c>
    </row>
    <row r="67" spans="1:16" x14ac:dyDescent="0.2">
      <c r="A67" t="s">
        <v>79</v>
      </c>
      <c r="F67" t="s">
        <v>93</v>
      </c>
      <c r="K67" t="s">
        <v>103</v>
      </c>
      <c r="P67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55B2-6FB3-1B45-B9BF-28A8708E70F6}">
  <dimension ref="A1:W18"/>
  <sheetViews>
    <sheetView tabSelected="1" zoomScale="87" workbookViewId="0">
      <pane xSplit="4" ySplit="3" topLeftCell="L4" activePane="bottomRight" state="frozen"/>
      <selection pane="topRight" activeCell="E1" sqref="E1"/>
      <selection pane="bottomLeft" activeCell="A4" sqref="A4"/>
      <selection pane="bottomRight" activeCell="S12" sqref="S12"/>
    </sheetView>
  </sheetViews>
  <sheetFormatPr baseColWidth="10" defaultRowHeight="15" x14ac:dyDescent="0.2"/>
  <cols>
    <col min="1" max="20" width="10.83203125" style="21"/>
    <col min="21" max="22" width="49" style="21" customWidth="1"/>
    <col min="23" max="16384" width="10.83203125" style="21"/>
  </cols>
  <sheetData>
    <row r="1" spans="1:23" s="8" customFormat="1" ht="41" customHeight="1" x14ac:dyDescent="0.2">
      <c r="A1" s="2" t="s">
        <v>111</v>
      </c>
      <c r="B1" s="3"/>
      <c r="C1" s="4"/>
      <c r="D1" s="5"/>
      <c r="E1" s="6" t="s">
        <v>112</v>
      </c>
      <c r="F1" s="6"/>
      <c r="G1" s="6"/>
      <c r="H1" s="6"/>
      <c r="I1" s="6"/>
      <c r="J1" s="6"/>
      <c r="K1" s="6"/>
      <c r="L1" s="6"/>
      <c r="M1" s="6"/>
      <c r="N1" s="7"/>
      <c r="O1" s="6" t="s">
        <v>113</v>
      </c>
      <c r="P1" s="6"/>
      <c r="R1" s="9" t="s">
        <v>114</v>
      </c>
      <c r="S1" s="9"/>
      <c r="U1" s="10" t="s">
        <v>115</v>
      </c>
      <c r="V1" s="10" t="s">
        <v>116</v>
      </c>
    </row>
    <row r="2" spans="1:23" s="8" customFormat="1" ht="36" customHeight="1" x14ac:dyDescent="0.2">
      <c r="A2" s="8" t="s">
        <v>117</v>
      </c>
      <c r="B2" s="7" t="s">
        <v>118</v>
      </c>
      <c r="C2" s="4" t="s">
        <v>119</v>
      </c>
      <c r="D2" s="5" t="s">
        <v>120</v>
      </c>
      <c r="E2" s="7" t="s">
        <v>121</v>
      </c>
      <c r="F2" s="31" t="s">
        <v>132</v>
      </c>
      <c r="G2" s="31" t="s">
        <v>133</v>
      </c>
      <c r="H2" s="31" t="s">
        <v>134</v>
      </c>
      <c r="I2" s="31" t="s">
        <v>135</v>
      </c>
      <c r="J2" s="31" t="s">
        <v>136</v>
      </c>
      <c r="K2" s="32" t="s">
        <v>122</v>
      </c>
      <c r="L2" s="31" t="s">
        <v>137</v>
      </c>
      <c r="M2" s="31" t="s">
        <v>138</v>
      </c>
      <c r="O2" s="7" t="s">
        <v>123</v>
      </c>
      <c r="P2" s="7" t="s">
        <v>124</v>
      </c>
      <c r="R2" s="7" t="s">
        <v>125</v>
      </c>
      <c r="S2" s="7" t="s">
        <v>142</v>
      </c>
    </row>
    <row r="3" spans="1:23" s="11" customFormat="1" ht="40" customHeight="1" x14ac:dyDescent="0.2">
      <c r="B3" s="12"/>
      <c r="C3" s="13"/>
      <c r="D3" s="14"/>
      <c r="E3" s="12"/>
      <c r="H3" s="12"/>
      <c r="I3" s="12" t="s">
        <v>127</v>
      </c>
      <c r="J3" s="12" t="s">
        <v>139</v>
      </c>
      <c r="K3" s="12" t="s">
        <v>126</v>
      </c>
      <c r="L3" s="12" t="s">
        <v>141</v>
      </c>
      <c r="M3" s="12" t="s">
        <v>140</v>
      </c>
      <c r="O3" s="12" t="s">
        <v>128</v>
      </c>
      <c r="P3" s="12" t="s">
        <v>128</v>
      </c>
      <c r="R3" s="12" t="s">
        <v>129</v>
      </c>
      <c r="S3" s="12" t="s">
        <v>129</v>
      </c>
    </row>
    <row r="4" spans="1:23" s="16" customFormat="1" ht="34" x14ac:dyDescent="0.2">
      <c r="A4" s="15" t="s">
        <v>130</v>
      </c>
      <c r="B4" s="16" t="s">
        <v>131</v>
      </c>
      <c r="C4" s="17">
        <v>1</v>
      </c>
      <c r="D4" s="18">
        <v>334</v>
      </c>
      <c r="E4" s="28">
        <v>-12.69065975</v>
      </c>
      <c r="F4" s="28">
        <v>-5.4230934299999998</v>
      </c>
      <c r="G4" s="28">
        <v>-3.8382445600000001</v>
      </c>
      <c r="H4" s="28">
        <v>-0.70495701</v>
      </c>
      <c r="I4" s="28">
        <v>0.60290829999999995</v>
      </c>
      <c r="J4" s="28">
        <v>-5.8906319999999998E-2</v>
      </c>
      <c r="K4" s="30">
        <v>-0.63559155000000001</v>
      </c>
      <c r="L4" s="28">
        <v>-0.39466126000000001</v>
      </c>
      <c r="M4" s="28">
        <v>-1.44312258</v>
      </c>
      <c r="N4" s="19"/>
      <c r="O4" s="15">
        <v>-6.8361689999999996E-3</v>
      </c>
      <c r="P4" s="15">
        <v>7.4320150000000001E-2</v>
      </c>
      <c r="Q4" s="19"/>
      <c r="R4" s="19">
        <v>2.4820359999999999</v>
      </c>
      <c r="S4" s="19">
        <v>2.6317370000000002</v>
      </c>
    </row>
    <row r="5" spans="1:23" x14ac:dyDescent="0.2"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23" ht="48" x14ac:dyDescent="0.2">
      <c r="A6" s="20" t="s">
        <v>143</v>
      </c>
      <c r="B6" s="15" t="s">
        <v>144</v>
      </c>
      <c r="C6" s="25">
        <v>0.42093999999999998</v>
      </c>
      <c r="D6" s="29">
        <f>C6*$D$4</f>
        <v>140.59395999999998</v>
      </c>
      <c r="E6" s="28">
        <v>-11.640313000000001</v>
      </c>
      <c r="F6" s="28">
        <v>-20.3894214</v>
      </c>
      <c r="G6" s="28">
        <v>-8.9738743999999997</v>
      </c>
      <c r="H6" s="28">
        <v>-3.3222238000000002</v>
      </c>
      <c r="I6" s="36">
        <v>4.5254570000000003</v>
      </c>
      <c r="J6" s="36">
        <v>0.30697860999999999</v>
      </c>
      <c r="K6" s="28">
        <v>-0.70221909999999998</v>
      </c>
      <c r="L6" s="28">
        <v>-0.36176405900000003</v>
      </c>
      <c r="M6" s="28">
        <v>-0.10327769000000001</v>
      </c>
      <c r="N6" s="28"/>
      <c r="O6" s="28">
        <v>-0.64955289999999999</v>
      </c>
      <c r="P6" s="28">
        <v>0.43317080000000002</v>
      </c>
      <c r="Q6" s="28"/>
      <c r="R6" s="28">
        <v>1.7034480000000001</v>
      </c>
      <c r="S6" s="28">
        <v>1.8344830000000001</v>
      </c>
      <c r="U6" s="19" t="s">
        <v>147</v>
      </c>
      <c r="V6" s="33" t="s">
        <v>150</v>
      </c>
    </row>
    <row r="7" spans="1:23" ht="32" x14ac:dyDescent="0.2">
      <c r="A7" s="20"/>
      <c r="B7" s="15" t="s">
        <v>145</v>
      </c>
      <c r="C7" s="25">
        <v>0.49490000000000001</v>
      </c>
      <c r="D7" s="29">
        <f t="shared" ref="D7:D8" si="0">C7*$D$4</f>
        <v>165.29660000000001</v>
      </c>
      <c r="E7" s="28">
        <v>-10.42797</v>
      </c>
      <c r="F7" s="36">
        <v>-0.57105680000000003</v>
      </c>
      <c r="G7" s="36">
        <v>0.1323531</v>
      </c>
      <c r="H7" s="28">
        <v>0.97586010000000001</v>
      </c>
      <c r="I7" s="36">
        <v>0.25324580000000002</v>
      </c>
      <c r="J7" s="36">
        <v>-7.5042090000000006E-2</v>
      </c>
      <c r="K7" s="28">
        <v>-0.2230232</v>
      </c>
      <c r="L7" s="28">
        <v>-0.19180069899999999</v>
      </c>
      <c r="M7" s="28">
        <v>-7.893008E-2</v>
      </c>
      <c r="N7" s="28"/>
      <c r="O7" s="28">
        <v>0.53342789999999995</v>
      </c>
      <c r="P7" s="28">
        <v>-0.1798158</v>
      </c>
      <c r="Q7" s="28"/>
      <c r="R7" s="28">
        <v>3.1385540000000001</v>
      </c>
      <c r="S7" s="28">
        <v>3.3433730000000002</v>
      </c>
      <c r="U7" s="19" t="s">
        <v>149</v>
      </c>
      <c r="V7" s="33" t="s">
        <v>158</v>
      </c>
      <c r="W7" s="35"/>
    </row>
    <row r="8" spans="1:23" ht="96" x14ac:dyDescent="0.2">
      <c r="A8" s="20"/>
      <c r="B8" s="15" t="s">
        <v>146</v>
      </c>
      <c r="C8" s="25">
        <v>8.4150000000000003E-2</v>
      </c>
      <c r="D8" s="29">
        <f t="shared" si="0"/>
        <v>28.106100000000001</v>
      </c>
      <c r="E8" s="28">
        <v>-2.696348</v>
      </c>
      <c r="F8" s="36">
        <v>0.31032169999999998</v>
      </c>
      <c r="G8" s="36">
        <v>0.44767679999999999</v>
      </c>
      <c r="H8" s="36">
        <v>0.44606059999999997</v>
      </c>
      <c r="I8" s="36">
        <v>0.2872323</v>
      </c>
      <c r="J8" s="36">
        <v>-7.8797300000000001E-2</v>
      </c>
      <c r="K8" s="36">
        <v>-0.19402079999999999</v>
      </c>
      <c r="L8" s="37">
        <v>2.6433239999999998E-3</v>
      </c>
      <c r="M8" s="36">
        <v>-5.9434540000000001E-2</v>
      </c>
      <c r="N8" s="28"/>
      <c r="O8" s="28">
        <v>0.14577709999999999</v>
      </c>
      <c r="P8" s="28">
        <v>-0.35380060000000002</v>
      </c>
      <c r="Q8" s="28"/>
      <c r="R8" s="28">
        <v>2.652174</v>
      </c>
      <c r="S8" s="28">
        <v>2.5217390000000002</v>
      </c>
      <c r="U8" s="19" t="s">
        <v>148</v>
      </c>
      <c r="V8" s="33" t="s">
        <v>157</v>
      </c>
      <c r="W8" s="35"/>
    </row>
    <row r="10" spans="1:23" x14ac:dyDescent="0.2">
      <c r="P10" s="26"/>
      <c r="Q10" s="26" t="s">
        <v>118</v>
      </c>
      <c r="R10" s="26" t="s">
        <v>123</v>
      </c>
      <c r="S10" s="26" t="s">
        <v>124</v>
      </c>
      <c r="T10" s="26" t="s">
        <v>125</v>
      </c>
      <c r="U10" s="26" t="s">
        <v>142</v>
      </c>
    </row>
    <row r="11" spans="1:23" ht="16" x14ac:dyDescent="0.2">
      <c r="E11" s="22"/>
      <c r="P11" s="26"/>
      <c r="Q11" s="26"/>
      <c r="R11" s="26"/>
      <c r="S11" s="26"/>
      <c r="T11" s="26"/>
      <c r="U11" s="26"/>
    </row>
    <row r="12" spans="1:23" x14ac:dyDescent="0.2">
      <c r="P12" s="27"/>
    </row>
    <row r="13" spans="1:23" x14ac:dyDescent="0.2">
      <c r="H13" s="23"/>
      <c r="P13" s="27"/>
    </row>
    <row r="14" spans="1:23" x14ac:dyDescent="0.2">
      <c r="H14" s="23"/>
      <c r="P14" s="27"/>
    </row>
    <row r="15" spans="1:23" x14ac:dyDescent="0.2">
      <c r="H15" s="23"/>
      <c r="P15" s="27"/>
    </row>
    <row r="16" spans="1:23" x14ac:dyDescent="0.2">
      <c r="H16" s="23"/>
    </row>
    <row r="17" spans="8:8" x14ac:dyDescent="0.2">
      <c r="H17" s="23"/>
    </row>
    <row r="18" spans="8:8" ht="16" x14ac:dyDescent="0.2">
      <c r="H18" s="24"/>
    </row>
  </sheetData>
  <mergeCells count="5">
    <mergeCell ref="W7:W8"/>
    <mergeCell ref="E1:M1"/>
    <mergeCell ref="R1:S1"/>
    <mergeCell ref="O1:P1"/>
    <mergeCell ref="A6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41B1-EEA4-9644-98C8-8514E386A931}">
  <dimension ref="A1:C7"/>
  <sheetViews>
    <sheetView zoomScale="162" workbookViewId="0">
      <selection sqref="A1:XFD1048576"/>
    </sheetView>
  </sheetViews>
  <sheetFormatPr baseColWidth="10" defaultRowHeight="15" x14ac:dyDescent="0.2"/>
  <cols>
    <col min="1" max="1" width="87.33203125" customWidth="1"/>
  </cols>
  <sheetData>
    <row r="1" spans="1:3" ht="34" x14ac:dyDescent="0.2">
      <c r="B1" s="15" t="s">
        <v>123</v>
      </c>
      <c r="C1" s="15" t="s">
        <v>124</v>
      </c>
    </row>
    <row r="2" spans="1:3" ht="16" x14ac:dyDescent="0.2">
      <c r="A2" s="34" t="s">
        <v>151</v>
      </c>
      <c r="B2">
        <v>0.61</v>
      </c>
    </row>
    <row r="3" spans="1:3" ht="16" x14ac:dyDescent="0.2">
      <c r="A3" s="34" t="s">
        <v>152</v>
      </c>
      <c r="B3">
        <v>0.93</v>
      </c>
    </row>
    <row r="4" spans="1:3" ht="16" x14ac:dyDescent="0.2">
      <c r="A4" s="34" t="s">
        <v>153</v>
      </c>
      <c r="B4">
        <v>0.77</v>
      </c>
    </row>
    <row r="5" spans="1:3" ht="16" x14ac:dyDescent="0.2">
      <c r="A5" s="34" t="s">
        <v>154</v>
      </c>
      <c r="C5">
        <v>0.68</v>
      </c>
    </row>
    <row r="6" spans="1:3" ht="16" x14ac:dyDescent="0.2">
      <c r="A6" s="34" t="s">
        <v>155</v>
      </c>
      <c r="C6">
        <v>0.55000000000000004</v>
      </c>
    </row>
    <row r="7" spans="1:3" ht="16" x14ac:dyDescent="0.2">
      <c r="A7" s="34" t="s">
        <v>156</v>
      </c>
      <c r="C7">
        <v>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coef_fit</vt:lpstr>
      <vt:lpstr>WTP</vt:lpstr>
      <vt:lpstr>Factor_analysis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2025-11-13T21:25:14Z</dcterms:created>
  <dcterms:modified xsi:type="dcterms:W3CDTF">2025-11-13T22:18:02Z</dcterms:modified>
</cp:coreProperties>
</file>