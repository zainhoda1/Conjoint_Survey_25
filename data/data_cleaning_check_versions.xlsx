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/Users/wuxiatian/Documents/Job Application/PostDoc_GWU_NIST/NIST_Work/Github_folder/Conjoint_Survey_25/data/"/>
    </mc:Choice>
  </mc:AlternateContent>
  <xr:revisionPtr revIDLastSave="0" documentId="13_ncr:1_{B16548D6-4518-E349-A529-7E98E7272B5A}" xr6:coauthVersionLast="47" xr6:coauthVersionMax="47" xr10:uidLastSave="{00000000-0000-0000-0000-000000000000}"/>
  <bookViews>
    <workbookView xWindow="0" yWindow="500" windowWidth="28800" windowHeight="16300" activeTab="5" xr2:uid="{AB398583-1D6C-44A7-B644-39DAA0507635}"/>
  </bookViews>
  <sheets>
    <sheet name="Sheet1" sheetId="1" state="hidden" r:id="rId1"/>
    <sheet name="Prolific Round 1-4" sheetId="6" r:id="rId2"/>
    <sheet name="Prolific Round 2-4" sheetId="2" r:id="rId3"/>
    <sheet name="Prolific Round 1" sheetId="3" r:id="rId4"/>
    <sheet name="Dynata Round 1 " sheetId="4" r:id="rId5"/>
    <sheet name="dynata_prolific_join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4" i="6" l="1"/>
  <c r="F32" i="4"/>
  <c r="I32" i="6"/>
  <c r="D7" i="1"/>
  <c r="D5" i="1"/>
  <c r="I21" i="1"/>
  <c r="I20" i="1"/>
  <c r="D20" i="1"/>
  <c r="D21" i="1"/>
</calcChain>
</file>

<file path=xl/sharedStrings.xml><?xml version="1.0" encoding="utf-8"?>
<sst xmlns="http://schemas.openxmlformats.org/spreadsheetml/2006/main" count="276" uniqueCount="63">
  <si>
    <t>prolific_testing_0_complete_response</t>
  </si>
  <si>
    <t>data</t>
  </si>
  <si>
    <t>prolific_testing_1a_dce_cleaning_vehicle</t>
  </si>
  <si>
    <t>data_vehicle</t>
  </si>
  <si>
    <t>prolific_testing_1b_dce_cleaning_battery</t>
  </si>
  <si>
    <t>data_battery</t>
  </si>
  <si>
    <t>Prolific Round 2,3,4</t>
  </si>
  <si>
    <t>dynata_prolific_joint_1_dynata_prolific_joint</t>
  </si>
  <si>
    <t>data_prolific_vehicle</t>
  </si>
  <si>
    <t>data_prolific_vehicle_round2</t>
  </si>
  <si>
    <t>data_prolific_battery</t>
  </si>
  <si>
    <t>data_prolific_battery_round2</t>
  </si>
  <si>
    <t>data_dynata_battery</t>
  </si>
  <si>
    <t>data_dynata_vehicle</t>
  </si>
  <si>
    <t>data_joint_vehicle</t>
  </si>
  <si>
    <t>data_joint_battery</t>
  </si>
  <si>
    <t>data_dynata</t>
  </si>
  <si>
    <t>data_joint</t>
  </si>
  <si>
    <t>data_prolific_both</t>
  </si>
  <si>
    <t>Prolific Round 2,3</t>
  </si>
  <si>
    <t>Prolific Round 4</t>
  </si>
  <si>
    <r>
      <t>1</t>
    </r>
    <r>
      <rPr>
        <sz val="11"/>
        <color rgb="FF3B3B3B"/>
        <rFont val="Consolas"/>
        <family val="3"/>
      </rPr>
      <t xml:space="preserve">630 </t>
    </r>
    <r>
      <rPr>
        <u/>
        <sz val="11"/>
        <color rgb="FF3B3B3B"/>
        <rFont val="Consolas"/>
        <family val="3"/>
      </rPr>
      <t>1</t>
    </r>
    <r>
      <rPr>
        <sz val="11"/>
        <color rgb="FF3B3B3B"/>
        <rFont val="Consolas"/>
        <family val="3"/>
      </rPr>
      <t xml:space="preserve">812 </t>
    </r>
    <r>
      <rPr>
        <u/>
        <sz val="11"/>
        <color rgb="FF3B3B3B"/>
        <rFont val="Consolas"/>
        <family val="3"/>
      </rPr>
      <t>1</t>
    </r>
    <r>
      <rPr>
        <sz val="11"/>
        <color rgb="FF3B3B3B"/>
        <rFont val="Consolas"/>
        <family val="3"/>
      </rPr>
      <t>560</t>
    </r>
  </si>
  <si>
    <t>Round 2</t>
  </si>
  <si>
    <t>Round 3</t>
  </si>
  <si>
    <t>Round 4</t>
  </si>
  <si>
    <t>rounds</t>
  </si>
  <si>
    <t># removing testing entries</t>
  </si>
  <si>
    <t>total</t>
  </si>
  <si>
    <r>
      <t>1</t>
    </r>
    <r>
      <rPr>
        <sz val="11"/>
        <color rgb="FF3B3B3B"/>
        <rFont val="Consolas"/>
        <family val="3"/>
      </rPr>
      <t xml:space="preserve">623 </t>
    </r>
    <r>
      <rPr>
        <u/>
        <sz val="11"/>
        <color rgb="FF3B3B3B"/>
        <rFont val="Consolas"/>
        <family val="3"/>
      </rPr>
      <t>1</t>
    </r>
    <r>
      <rPr>
        <sz val="11"/>
        <color rgb="FF3B3B3B"/>
        <rFont val="Consolas"/>
        <family val="3"/>
      </rPr>
      <t xml:space="preserve">801 </t>
    </r>
    <r>
      <rPr>
        <u/>
        <sz val="11"/>
        <color rgb="FF3B3B3B"/>
        <rFont val="Consolas"/>
        <family val="3"/>
      </rPr>
      <t>1</t>
    </r>
    <r>
      <rPr>
        <sz val="11"/>
        <color rgb="FF3B3B3B"/>
        <rFont val="Consolas"/>
        <family val="3"/>
      </rPr>
      <t>558</t>
    </r>
  </si>
  <si>
    <t># Drop people who got screened out</t>
  </si>
  <si>
    <t># Survey Reponses</t>
  </si>
  <si>
    <t>727 844 791</t>
  </si>
  <si>
    <t># Removing duplicate Prolific IDs</t>
  </si>
  <si>
    <t>727 844 790</t>
  </si>
  <si>
    <t># Drop those who missed attention checks</t>
  </si>
  <si>
    <t># Drop people whose next vehicle is NUll</t>
  </si>
  <si>
    <t>727 843 790</t>
  </si>
  <si>
    <t># Drop bad respondents</t>
  </si>
  <si>
    <t>623 722 662</t>
  </si>
  <si>
    <t># Drop anyone who didn't complete all choice questions</t>
  </si>
  <si>
    <t># Drop anyone who got the demo question wrong:</t>
  </si>
  <si>
    <t>527 579 500</t>
  </si>
  <si>
    <t># Drop anyone who answered the same question for all choice questions</t>
  </si>
  <si>
    <t>514 568 488</t>
  </si>
  <si>
    <t>Stage</t>
  </si>
  <si>
    <t>File</t>
  </si>
  <si>
    <t>0_complete_response</t>
  </si>
  <si>
    <t>1a_dce_cleaning_vehicle</t>
  </si>
  <si>
    <t>Drop respondents who went too fast &lt; 30 sec</t>
  </si>
  <si>
    <t># Drop anyone who answered the same question for all choice questions except no-choice</t>
  </si>
  <si>
    <t>597 706 645</t>
  </si>
  <si>
    <t># Drop anyone who finished the choice question section in under 30 seconds</t>
  </si>
  <si>
    <t>1b_dce_cleaning_battery</t>
  </si>
  <si>
    <t>PROLIFIC DATA (Rounds  2 -4)</t>
  </si>
  <si>
    <t>PROLIFIC DATA (Round 1)</t>
  </si>
  <si>
    <t>DYNATA DATA (Round 1)</t>
  </si>
  <si>
    <t>Folder - dynata_testing</t>
  </si>
  <si>
    <t>NA</t>
  </si>
  <si>
    <t>Folder - prolific_testing</t>
  </si>
  <si>
    <t>Folder - prolific_testing -round1</t>
  </si>
  <si>
    <t>Round 1</t>
  </si>
  <si>
    <t>Total_2_4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</si>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</sst>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1080"/>
      <name val="Consolas"/>
      <family val="3"/>
    </font>
    <font>
      <b/>
      <sz val="11"/>
      <color theme="1"/>
      <name val="Aptos Narrow"/>
      <family val="2"/>
      <scheme val="minor"/>
    </font>
    <font>
      <sz val="11"/>
      <color rgb="FF3B3B3B"/>
      <name val="Consolas"/>
      <family val="3"/>
    </font>
    <font>
      <u/>
      <sz val="11"/>
      <color rgb="FF3B3B3B"/>
      <name val="Consolas"/>
      <family val="3"/>
    </font>
    <font>
      <sz val="11"/>
      <color rgb="FF008000"/>
      <name val="Consolas"/>
      <family val="3"/>
    </font>
    <font>
      <b/>
      <sz val="14"/>
      <color theme="1"/>
      <name val="Aptos Narrow"/>
      <family val="2"/>
      <scheme val="minor"/>
    </font>
    <font>
      <strike/>
      <sz val="11"/>
      <color rgb="FF008000"/>
      <name val="Consolas"/>
      <family val="3"/>
    </font>
    <font>
      <strike/>
      <sz val="11"/>
      <color rgb="FF3B3B3B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4" fillId="0" borderId="1" xfId="0" applyFont="1" applyBorder="1"/>
    <xf numFmtId="0" fontId="3" fillId="0" borderId="1" xfId="0" applyFont="1" applyBorder="1"/>
    <xf numFmtId="0" fontId="0" fillId="2" borderId="1" xfId="0" applyFill="1" applyBorder="1"/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51C4-A786-4FD8-9E25-25F06F83C15D}">
  <dimension ref="A1:M26"/>
  <sheetViews>
    <sheetView topLeftCell="A5" workbookViewId="0">
      <selection activeCell="C11" sqref="C11"/>
    </sheetView>
  </sheetViews>
  <sheetFormatPr baseColWidth="10" defaultColWidth="8.83203125" defaultRowHeight="15" x14ac:dyDescent="0.2"/>
  <cols>
    <col min="1" max="1" width="42.5" customWidth="1"/>
    <col min="2" max="2" width="25.1640625" customWidth="1"/>
    <col min="6" max="6" width="36.5" customWidth="1"/>
    <col min="7" max="7" width="19.33203125" customWidth="1"/>
    <col min="11" max="11" width="41.6640625" customWidth="1"/>
    <col min="12" max="12" width="19" customWidth="1"/>
  </cols>
  <sheetData>
    <row r="1" spans="1:13" x14ac:dyDescent="0.2">
      <c r="A1" s="20" t="s">
        <v>6</v>
      </c>
      <c r="B1" s="20"/>
      <c r="C1" s="20"/>
      <c r="F1" s="20" t="s">
        <v>19</v>
      </c>
      <c r="G1" s="20"/>
      <c r="H1" s="20"/>
      <c r="K1" s="20" t="s">
        <v>20</v>
      </c>
      <c r="L1" s="20"/>
      <c r="M1" s="20"/>
    </row>
    <row r="2" spans="1:13" s="2" customFormat="1" x14ac:dyDescent="0.2">
      <c r="A2" s="1"/>
      <c r="B2" s="1"/>
      <c r="C2" s="1"/>
      <c r="F2" s="1"/>
      <c r="G2" s="1"/>
      <c r="H2" s="1"/>
      <c r="K2" s="1"/>
      <c r="L2" s="1"/>
      <c r="M2" s="1"/>
    </row>
    <row r="3" spans="1:13" s="2" customFormat="1" ht="16" x14ac:dyDescent="0.2">
      <c r="A3" s="1" t="s">
        <v>0</v>
      </c>
      <c r="B3" s="1" t="s">
        <v>1</v>
      </c>
      <c r="C3" s="1">
        <v>2360</v>
      </c>
      <c r="F3" s="1" t="s">
        <v>0</v>
      </c>
      <c r="G3" s="1" t="s">
        <v>1</v>
      </c>
      <c r="H3" s="1">
        <v>1570</v>
      </c>
      <c r="K3" s="1" t="s">
        <v>0</v>
      </c>
      <c r="L3" s="1" t="s">
        <v>1</v>
      </c>
      <c r="M3" s="1">
        <v>790</v>
      </c>
    </row>
    <row r="4" spans="1:13" s="2" customFormat="1" x14ac:dyDescent="0.2">
      <c r="A4" s="1"/>
      <c r="B4" s="1"/>
      <c r="C4" s="1"/>
      <c r="F4" s="1"/>
      <c r="G4" s="1"/>
      <c r="H4" s="1"/>
      <c r="K4" s="1"/>
      <c r="L4" s="1"/>
      <c r="M4" s="1"/>
    </row>
    <row r="5" spans="1:13" s="2" customFormat="1" ht="16" x14ac:dyDescent="0.2">
      <c r="A5" s="1" t="s">
        <v>2</v>
      </c>
      <c r="B5" s="1" t="s">
        <v>3</v>
      </c>
      <c r="C5" s="1">
        <v>1570</v>
      </c>
      <c r="D5" s="2">
        <f>H5+M5</f>
        <v>1570</v>
      </c>
      <c r="F5" s="1" t="s">
        <v>2</v>
      </c>
      <c r="G5" s="1" t="s">
        <v>3</v>
      </c>
      <c r="H5" s="1">
        <v>1082</v>
      </c>
      <c r="K5" s="1" t="s">
        <v>2</v>
      </c>
      <c r="L5" s="1" t="s">
        <v>3</v>
      </c>
      <c r="M5" s="1">
        <v>488</v>
      </c>
    </row>
    <row r="6" spans="1:13" s="2" customFormat="1" x14ac:dyDescent="0.2">
      <c r="A6" s="1"/>
      <c r="B6" s="1"/>
      <c r="C6" s="1"/>
      <c r="F6" s="1"/>
      <c r="G6" s="1"/>
      <c r="H6" s="1"/>
      <c r="K6" s="1"/>
      <c r="L6" s="1"/>
      <c r="M6" s="1"/>
    </row>
    <row r="7" spans="1:13" s="2" customFormat="1" ht="16" x14ac:dyDescent="0.2">
      <c r="A7" s="1" t="s">
        <v>4</v>
      </c>
      <c r="B7" s="1" t="s">
        <v>5</v>
      </c>
      <c r="C7" s="1">
        <v>2238</v>
      </c>
      <c r="D7" s="2">
        <f t="shared" ref="D7" si="0">H7+M7</f>
        <v>2238</v>
      </c>
      <c r="F7" s="1" t="s">
        <v>4</v>
      </c>
      <c r="G7" s="1" t="s">
        <v>5</v>
      </c>
      <c r="H7" s="1">
        <v>1486</v>
      </c>
      <c r="K7" s="1" t="s">
        <v>4</v>
      </c>
      <c r="L7" s="1" t="s">
        <v>5</v>
      </c>
      <c r="M7" s="1">
        <v>752</v>
      </c>
    </row>
    <row r="8" spans="1:13" s="2" customFormat="1" x14ac:dyDescent="0.2">
      <c r="A8" s="1"/>
      <c r="B8" s="1"/>
      <c r="C8" s="1"/>
      <c r="F8" s="1"/>
      <c r="G8" s="1"/>
      <c r="H8" s="1"/>
      <c r="K8" s="1"/>
      <c r="L8" s="1"/>
      <c r="M8" s="1"/>
    </row>
    <row r="9" spans="1:13" s="2" customFormat="1" x14ac:dyDescent="0.2"/>
    <row r="10" spans="1:13" s="2" customFormat="1" x14ac:dyDescent="0.2"/>
    <row r="11" spans="1:13" s="2" customFormat="1" ht="32" x14ac:dyDescent="0.2">
      <c r="A11" s="2" t="s">
        <v>7</v>
      </c>
      <c r="B11" s="3" t="s">
        <v>8</v>
      </c>
      <c r="C11" s="2">
        <v>403</v>
      </c>
      <c r="F11" s="2" t="s">
        <v>7</v>
      </c>
      <c r="G11" s="3" t="s">
        <v>8</v>
      </c>
      <c r="K11" s="2" t="s">
        <v>7</v>
      </c>
      <c r="L11" s="3" t="s">
        <v>8</v>
      </c>
    </row>
    <row r="12" spans="1:13" s="2" customFormat="1" ht="32" x14ac:dyDescent="0.2">
      <c r="A12" s="2" t="s">
        <v>7</v>
      </c>
      <c r="B12" s="4" t="s">
        <v>9</v>
      </c>
      <c r="C12" s="2">
        <v>1570</v>
      </c>
      <c r="F12" s="2" t="s">
        <v>7</v>
      </c>
      <c r="G12" s="4" t="s">
        <v>9</v>
      </c>
      <c r="K12" s="2" t="s">
        <v>7</v>
      </c>
      <c r="L12" s="4" t="s">
        <v>9</v>
      </c>
    </row>
    <row r="13" spans="1:13" s="2" customFormat="1" x14ac:dyDescent="0.2"/>
    <row r="14" spans="1:13" s="2" customFormat="1" ht="32" x14ac:dyDescent="0.2">
      <c r="A14" s="2" t="s">
        <v>7</v>
      </c>
      <c r="B14" s="3" t="s">
        <v>10</v>
      </c>
      <c r="C14" s="2">
        <v>489</v>
      </c>
      <c r="F14" s="2" t="s">
        <v>7</v>
      </c>
      <c r="G14" s="3" t="s">
        <v>10</v>
      </c>
      <c r="K14" s="2" t="s">
        <v>7</v>
      </c>
      <c r="L14" s="3" t="s">
        <v>10</v>
      </c>
    </row>
    <row r="15" spans="1:13" s="2" customFormat="1" ht="32" x14ac:dyDescent="0.2">
      <c r="A15" s="2" t="s">
        <v>7</v>
      </c>
      <c r="B15" s="4" t="s">
        <v>11</v>
      </c>
      <c r="C15" s="2">
        <v>2238</v>
      </c>
      <c r="F15" s="2" t="s">
        <v>7</v>
      </c>
      <c r="G15" s="4" t="s">
        <v>11</v>
      </c>
      <c r="K15" s="2" t="s">
        <v>7</v>
      </c>
      <c r="L15" s="4" t="s">
        <v>11</v>
      </c>
    </row>
    <row r="16" spans="1:13" s="2" customFormat="1" x14ac:dyDescent="0.2"/>
    <row r="17" spans="1:12" s="2" customFormat="1" ht="32" x14ac:dyDescent="0.2">
      <c r="A17" s="2" t="s">
        <v>7</v>
      </c>
      <c r="B17" s="3" t="s">
        <v>13</v>
      </c>
      <c r="C17" s="2">
        <v>281</v>
      </c>
      <c r="F17" s="2" t="s">
        <v>7</v>
      </c>
      <c r="G17" s="3" t="s">
        <v>13</v>
      </c>
      <c r="K17" s="2" t="s">
        <v>7</v>
      </c>
      <c r="L17" s="3" t="s">
        <v>13</v>
      </c>
    </row>
    <row r="18" spans="1:12" s="2" customFormat="1" ht="32" x14ac:dyDescent="0.2">
      <c r="A18" s="2" t="s">
        <v>7</v>
      </c>
      <c r="B18" s="3" t="s">
        <v>12</v>
      </c>
      <c r="C18" s="2">
        <v>332</v>
      </c>
      <c r="F18" s="2" t="s">
        <v>7</v>
      </c>
      <c r="G18" s="3" t="s">
        <v>12</v>
      </c>
      <c r="K18" s="2" t="s">
        <v>7</v>
      </c>
      <c r="L18" s="3" t="s">
        <v>12</v>
      </c>
    </row>
    <row r="19" spans="1:12" s="2" customFormat="1" x14ac:dyDescent="0.2"/>
    <row r="20" spans="1:12" s="2" customFormat="1" ht="32" x14ac:dyDescent="0.2">
      <c r="A20" s="2" t="s">
        <v>7</v>
      </c>
      <c r="B20" s="4" t="s">
        <v>14</v>
      </c>
      <c r="C20" s="2">
        <v>2254</v>
      </c>
      <c r="D20" s="2">
        <f>C11+C12+C17</f>
        <v>2254</v>
      </c>
      <c r="F20" s="2" t="s">
        <v>7</v>
      </c>
      <c r="G20" s="4" t="s">
        <v>14</v>
      </c>
      <c r="I20" s="2">
        <f>H11+H12+H17</f>
        <v>0</v>
      </c>
      <c r="K20" s="2" t="s">
        <v>7</v>
      </c>
      <c r="L20" s="4" t="s">
        <v>14</v>
      </c>
    </row>
    <row r="21" spans="1:12" s="2" customFormat="1" ht="32" x14ac:dyDescent="0.2">
      <c r="A21" s="2" t="s">
        <v>7</v>
      </c>
      <c r="B21" s="4" t="s">
        <v>15</v>
      </c>
      <c r="C21" s="2">
        <v>3059</v>
      </c>
      <c r="D21" s="2">
        <f>C14+C15+C18</f>
        <v>3059</v>
      </c>
      <c r="F21" s="2" t="s">
        <v>7</v>
      </c>
      <c r="G21" s="4" t="s">
        <v>15</v>
      </c>
      <c r="I21" s="2">
        <f>H14+H15+H18</f>
        <v>0</v>
      </c>
      <c r="K21" s="2" t="s">
        <v>7</v>
      </c>
      <c r="L21" s="4" t="s">
        <v>15</v>
      </c>
    </row>
    <row r="22" spans="1:12" s="2" customFormat="1" x14ac:dyDescent="0.2"/>
    <row r="23" spans="1:12" s="2" customFormat="1" ht="16" x14ac:dyDescent="0.2">
      <c r="A23" s="2" t="s">
        <v>7</v>
      </c>
      <c r="B23" s="4" t="s">
        <v>16</v>
      </c>
      <c r="C23" s="2">
        <v>419</v>
      </c>
      <c r="F23" s="2" t="s">
        <v>7</v>
      </c>
      <c r="G23" s="4" t="s">
        <v>16</v>
      </c>
      <c r="K23" s="2" t="s">
        <v>7</v>
      </c>
      <c r="L23" s="4" t="s">
        <v>16</v>
      </c>
    </row>
    <row r="24" spans="1:12" s="2" customFormat="1" ht="32" x14ac:dyDescent="0.2">
      <c r="A24" s="2" t="s">
        <v>7</v>
      </c>
      <c r="B24" s="4" t="s">
        <v>18</v>
      </c>
      <c r="C24" s="2">
        <v>2851</v>
      </c>
      <c r="F24" s="2" t="s">
        <v>7</v>
      </c>
      <c r="G24" s="4" t="s">
        <v>18</v>
      </c>
      <c r="K24" s="2" t="s">
        <v>7</v>
      </c>
      <c r="L24" s="4" t="s">
        <v>18</v>
      </c>
    </row>
    <row r="25" spans="1:12" s="2" customFormat="1" ht="16" x14ac:dyDescent="0.2">
      <c r="A25" s="2" t="s">
        <v>7</v>
      </c>
      <c r="B25" s="4" t="s">
        <v>17</v>
      </c>
      <c r="C25" s="2">
        <v>3270</v>
      </c>
      <c r="F25" s="2" t="s">
        <v>7</v>
      </c>
      <c r="G25" s="4" t="s">
        <v>17</v>
      </c>
      <c r="K25" s="2" t="s">
        <v>7</v>
      </c>
      <c r="L25" s="4" t="s">
        <v>17</v>
      </c>
    </row>
    <row r="26" spans="1:12" s="2" customFormat="1" x14ac:dyDescent="0.2"/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8DF7-DB55-ED49-A523-8E157D2D34D0}">
  <sheetPr>
    <tabColor theme="5"/>
  </sheetPr>
  <dimension ref="A1:I32"/>
  <sheetViews>
    <sheetView workbookViewId="0">
      <selection activeCell="K33" sqref="K33"/>
    </sheetView>
  </sheetViews>
  <sheetFormatPr baseColWidth="10" defaultColWidth="8.83203125" defaultRowHeight="15" x14ac:dyDescent="0.2"/>
  <cols>
    <col min="1" max="1" width="23" bestFit="1" customWidth="1"/>
    <col min="2" max="2" width="102.5" bestFit="1" customWidth="1"/>
    <col min="4" max="4" width="17.33203125" hidden="1" customWidth="1"/>
  </cols>
  <sheetData>
    <row r="1" spans="1:9" ht="19" x14ac:dyDescent="0.2">
      <c r="B1" s="12" t="s">
        <v>53</v>
      </c>
    </row>
    <row r="2" spans="1:9" ht="19" x14ac:dyDescent="0.2">
      <c r="A2" t="s">
        <v>58</v>
      </c>
      <c r="B2" s="12"/>
    </row>
    <row r="3" spans="1:9" x14ac:dyDescent="0.2">
      <c r="A3" s="6" t="s">
        <v>45</v>
      </c>
      <c r="B3" s="6" t="s">
        <v>44</v>
      </c>
      <c r="C3" s="6" t="s">
        <v>61</v>
      </c>
      <c r="D3" s="6" t="s">
        <v>25</v>
      </c>
      <c r="E3" s="6" t="s">
        <v>22</v>
      </c>
      <c r="F3" s="6" t="s">
        <v>23</v>
      </c>
      <c r="G3" s="6" t="s">
        <v>24</v>
      </c>
      <c r="H3" s="6" t="s">
        <v>60</v>
      </c>
      <c r="I3" s="21" t="s">
        <v>62</v>
      </c>
    </row>
    <row r="4" spans="1:9" x14ac:dyDescent="0.2">
      <c r="A4" s="19" t="s">
        <v>46</v>
      </c>
      <c r="B4" s="7" t="s">
        <v>30</v>
      </c>
      <c r="C4" s="8">
        <v>5002</v>
      </c>
      <c r="D4" s="9" t="s">
        <v>21</v>
      </c>
      <c r="E4" s="8">
        <v>1630</v>
      </c>
      <c r="F4" s="8">
        <v>1812</v>
      </c>
      <c r="G4" s="8">
        <v>1560</v>
      </c>
      <c r="H4" s="8">
        <v>1510</v>
      </c>
    </row>
    <row r="5" spans="1:9" x14ac:dyDescent="0.2">
      <c r="A5" s="19"/>
      <c r="B5" s="8"/>
      <c r="C5" s="8"/>
      <c r="D5" s="8"/>
      <c r="E5" s="8"/>
      <c r="F5" s="8"/>
      <c r="G5" s="8"/>
      <c r="H5" s="8"/>
    </row>
    <row r="6" spans="1:9" x14ac:dyDescent="0.2">
      <c r="A6" s="19"/>
      <c r="B6" s="7" t="s">
        <v>26</v>
      </c>
      <c r="C6" s="8">
        <v>4982</v>
      </c>
      <c r="D6" s="9" t="s">
        <v>28</v>
      </c>
      <c r="E6" s="8">
        <v>1623</v>
      </c>
      <c r="F6" s="8">
        <v>1801</v>
      </c>
      <c r="G6" s="8">
        <v>1558</v>
      </c>
      <c r="H6" s="8">
        <v>1502</v>
      </c>
    </row>
    <row r="7" spans="1:9" x14ac:dyDescent="0.2">
      <c r="A7" s="19"/>
      <c r="B7" s="8"/>
      <c r="C7" s="8"/>
      <c r="D7" s="8"/>
      <c r="E7" s="8"/>
      <c r="F7" s="8"/>
      <c r="G7" s="8"/>
      <c r="H7" s="8"/>
    </row>
    <row r="8" spans="1:9" x14ac:dyDescent="0.2">
      <c r="A8" s="19"/>
      <c r="B8" s="7" t="s">
        <v>29</v>
      </c>
      <c r="C8" s="10">
        <v>2362</v>
      </c>
      <c r="D8" s="10" t="s">
        <v>31</v>
      </c>
      <c r="E8" s="8">
        <v>727</v>
      </c>
      <c r="F8" s="8">
        <v>844</v>
      </c>
      <c r="G8" s="8">
        <v>791</v>
      </c>
      <c r="H8" s="10">
        <v>712</v>
      </c>
    </row>
    <row r="9" spans="1:9" x14ac:dyDescent="0.2">
      <c r="A9" s="19"/>
      <c r="B9" s="8"/>
      <c r="C9" s="8"/>
      <c r="D9" s="8"/>
      <c r="E9" s="8"/>
      <c r="F9" s="8"/>
      <c r="G9" s="8"/>
      <c r="H9" s="8"/>
    </row>
    <row r="10" spans="1:9" x14ac:dyDescent="0.2">
      <c r="A10" s="19"/>
      <c r="B10" s="7" t="s">
        <v>32</v>
      </c>
      <c r="C10" s="10">
        <v>2361</v>
      </c>
      <c r="D10" s="10" t="s">
        <v>33</v>
      </c>
      <c r="E10" s="8">
        <v>727</v>
      </c>
      <c r="F10" s="8">
        <v>844</v>
      </c>
      <c r="G10" s="8">
        <v>790</v>
      </c>
      <c r="H10" s="10">
        <v>708</v>
      </c>
    </row>
    <row r="11" spans="1:9" x14ac:dyDescent="0.2">
      <c r="A11" s="19"/>
      <c r="B11" s="8"/>
      <c r="C11" s="8"/>
      <c r="D11" s="8"/>
      <c r="E11" s="8"/>
      <c r="F11" s="8"/>
      <c r="G11" s="8"/>
      <c r="H11" s="8"/>
    </row>
    <row r="12" spans="1:9" x14ac:dyDescent="0.2">
      <c r="A12" s="19"/>
      <c r="B12" s="7" t="s">
        <v>34</v>
      </c>
      <c r="C12" s="10">
        <v>2361</v>
      </c>
      <c r="D12" s="10" t="s">
        <v>33</v>
      </c>
      <c r="E12" s="8">
        <v>727</v>
      </c>
      <c r="F12" s="8">
        <v>844</v>
      </c>
      <c r="G12" s="8">
        <v>790</v>
      </c>
      <c r="H12" s="10">
        <v>708</v>
      </c>
    </row>
    <row r="13" spans="1:9" x14ac:dyDescent="0.2">
      <c r="A13" s="19"/>
      <c r="B13" s="8"/>
      <c r="C13" s="8"/>
      <c r="D13" s="8"/>
      <c r="E13" s="8"/>
      <c r="F13" s="8"/>
      <c r="G13" s="8"/>
      <c r="H13" s="8"/>
    </row>
    <row r="14" spans="1:9" x14ac:dyDescent="0.2">
      <c r="A14" s="19"/>
      <c r="B14" s="7" t="s">
        <v>35</v>
      </c>
      <c r="C14" s="10">
        <v>2360</v>
      </c>
      <c r="D14" s="10" t="s">
        <v>36</v>
      </c>
      <c r="E14" s="8">
        <v>727</v>
      </c>
      <c r="F14" s="8">
        <v>843</v>
      </c>
      <c r="G14" s="8">
        <v>790</v>
      </c>
      <c r="H14" s="10">
        <v>708</v>
      </c>
    </row>
    <row r="15" spans="1:9" x14ac:dyDescent="0.2">
      <c r="A15" s="11"/>
      <c r="B15" s="11"/>
      <c r="C15" s="11"/>
      <c r="D15" s="11"/>
      <c r="E15" s="11"/>
      <c r="F15" s="11"/>
      <c r="G15" s="11"/>
      <c r="H15" s="11"/>
    </row>
    <row r="16" spans="1:9" x14ac:dyDescent="0.2">
      <c r="A16" s="19" t="s">
        <v>47</v>
      </c>
      <c r="B16" s="7" t="s">
        <v>37</v>
      </c>
      <c r="C16" s="10">
        <v>2007</v>
      </c>
      <c r="D16" s="10" t="s">
        <v>38</v>
      </c>
      <c r="E16" s="8">
        <v>623</v>
      </c>
      <c r="F16" s="8">
        <v>722</v>
      </c>
      <c r="G16" s="8">
        <v>662</v>
      </c>
      <c r="H16" s="10">
        <v>602</v>
      </c>
    </row>
    <row r="17" spans="1:9" x14ac:dyDescent="0.2">
      <c r="A17" s="19"/>
      <c r="B17" s="8"/>
      <c r="C17" s="8"/>
      <c r="D17" s="8"/>
      <c r="E17" s="8"/>
      <c r="F17" s="8"/>
      <c r="G17" s="8"/>
      <c r="H17" s="8"/>
    </row>
    <row r="18" spans="1:9" x14ac:dyDescent="0.2">
      <c r="A18" s="19"/>
      <c r="B18" s="7" t="s">
        <v>39</v>
      </c>
      <c r="C18" s="10">
        <v>2007</v>
      </c>
      <c r="D18" s="10" t="s">
        <v>38</v>
      </c>
      <c r="E18" s="8">
        <v>623</v>
      </c>
      <c r="F18" s="8">
        <v>722</v>
      </c>
      <c r="G18" s="8">
        <v>662</v>
      </c>
      <c r="H18" s="10">
        <v>602</v>
      </c>
    </row>
    <row r="19" spans="1:9" x14ac:dyDescent="0.2">
      <c r="A19" s="19"/>
      <c r="B19" s="8"/>
      <c r="C19" s="8"/>
      <c r="D19" s="8"/>
      <c r="E19" s="8"/>
      <c r="F19" s="8"/>
      <c r="G19" s="8"/>
      <c r="H19" s="8"/>
    </row>
    <row r="20" spans="1:9" x14ac:dyDescent="0.2">
      <c r="A20" s="19"/>
      <c r="B20" s="7" t="s">
        <v>40</v>
      </c>
      <c r="C20" s="10">
        <v>1606</v>
      </c>
      <c r="D20" s="10" t="s">
        <v>41</v>
      </c>
      <c r="E20" s="8">
        <v>527</v>
      </c>
      <c r="F20" s="8">
        <v>579</v>
      </c>
      <c r="G20" s="8">
        <v>500</v>
      </c>
      <c r="H20" s="10">
        <v>517</v>
      </c>
    </row>
    <row r="21" spans="1:9" x14ac:dyDescent="0.2">
      <c r="A21" s="19"/>
      <c r="B21" s="8"/>
      <c r="C21" s="8"/>
      <c r="D21" s="8"/>
      <c r="E21" s="8"/>
      <c r="F21" s="8"/>
      <c r="G21" s="8"/>
      <c r="H21" s="8"/>
    </row>
    <row r="22" spans="1:9" x14ac:dyDescent="0.2">
      <c r="A22" s="19"/>
      <c r="B22" s="7" t="s">
        <v>42</v>
      </c>
      <c r="C22" s="10">
        <v>1606</v>
      </c>
      <c r="D22" s="10" t="s">
        <v>41</v>
      </c>
      <c r="E22" s="8">
        <v>527</v>
      </c>
      <c r="F22" s="8">
        <v>579</v>
      </c>
      <c r="G22" s="8">
        <v>500</v>
      </c>
      <c r="H22" s="10">
        <v>517</v>
      </c>
    </row>
    <row r="23" spans="1:9" x14ac:dyDescent="0.2">
      <c r="A23" s="19"/>
      <c r="B23" s="8"/>
      <c r="C23" s="8"/>
      <c r="D23" s="8"/>
      <c r="E23" s="8"/>
      <c r="F23" s="8"/>
      <c r="G23" s="8"/>
      <c r="H23" s="8"/>
    </row>
    <row r="24" spans="1:9" x14ac:dyDescent="0.2">
      <c r="A24" s="19"/>
      <c r="B24" s="7" t="s">
        <v>48</v>
      </c>
      <c r="C24" s="10">
        <v>1570</v>
      </c>
      <c r="D24" s="10" t="s">
        <v>43</v>
      </c>
      <c r="E24" s="8">
        <v>514</v>
      </c>
      <c r="F24" s="8">
        <v>568</v>
      </c>
      <c r="G24" s="8">
        <v>488</v>
      </c>
      <c r="H24" s="10">
        <v>502</v>
      </c>
      <c r="I24">
        <f>SUM(E24:H24)</f>
        <v>2072</v>
      </c>
    </row>
    <row r="25" spans="1:9" x14ac:dyDescent="0.2">
      <c r="A25" s="11"/>
      <c r="B25" s="11"/>
      <c r="C25" s="11"/>
      <c r="D25" s="11"/>
      <c r="E25" s="11"/>
      <c r="F25" s="11"/>
      <c r="G25" s="11"/>
      <c r="H25" s="11"/>
    </row>
    <row r="26" spans="1:9" x14ac:dyDescent="0.2">
      <c r="A26" s="19" t="s">
        <v>52</v>
      </c>
      <c r="B26" s="7" t="s">
        <v>37</v>
      </c>
      <c r="C26" s="10">
        <v>2007</v>
      </c>
      <c r="D26" s="10" t="s">
        <v>38</v>
      </c>
      <c r="E26" s="8">
        <v>623</v>
      </c>
      <c r="F26" s="8">
        <v>722</v>
      </c>
      <c r="G26" s="8">
        <v>662</v>
      </c>
      <c r="H26" s="10">
        <v>602</v>
      </c>
    </row>
    <row r="27" spans="1:9" x14ac:dyDescent="0.2">
      <c r="A27" s="19"/>
      <c r="B27" s="8"/>
      <c r="C27" s="8"/>
      <c r="D27" s="8"/>
      <c r="E27" s="8"/>
      <c r="F27" s="8"/>
      <c r="G27" s="8"/>
      <c r="H27" s="8"/>
    </row>
    <row r="28" spans="1:9" x14ac:dyDescent="0.2">
      <c r="A28" s="19"/>
      <c r="B28" s="7" t="s">
        <v>39</v>
      </c>
      <c r="C28" s="10">
        <v>2007</v>
      </c>
      <c r="D28" s="10" t="s">
        <v>38</v>
      </c>
      <c r="E28" s="8">
        <v>623</v>
      </c>
      <c r="F28" s="8">
        <v>722</v>
      </c>
      <c r="G28" s="8">
        <v>662</v>
      </c>
      <c r="H28" s="10">
        <v>602</v>
      </c>
    </row>
    <row r="29" spans="1:9" x14ac:dyDescent="0.2">
      <c r="A29" s="19"/>
      <c r="B29" s="8"/>
      <c r="C29" s="8"/>
      <c r="D29" s="8"/>
      <c r="E29" s="8"/>
      <c r="F29" s="8"/>
      <c r="G29" s="8"/>
      <c r="H29" s="8"/>
    </row>
    <row r="30" spans="1:9" x14ac:dyDescent="0.2">
      <c r="A30" s="19"/>
      <c r="B30" s="7" t="s">
        <v>49</v>
      </c>
      <c r="C30" s="10">
        <v>2007</v>
      </c>
      <c r="D30" s="10" t="s">
        <v>38</v>
      </c>
      <c r="E30" s="8">
        <v>623</v>
      </c>
      <c r="F30" s="8">
        <v>722</v>
      </c>
      <c r="G30" s="8">
        <v>662</v>
      </c>
      <c r="H30" s="10">
        <v>602</v>
      </c>
    </row>
    <row r="31" spans="1:9" x14ac:dyDescent="0.2">
      <c r="A31" s="19"/>
      <c r="B31" s="8"/>
      <c r="C31" s="8"/>
      <c r="D31" s="8"/>
      <c r="E31" s="8"/>
      <c r="F31" s="8"/>
      <c r="G31" s="8"/>
      <c r="H31" s="8"/>
    </row>
    <row r="32" spans="1:9" x14ac:dyDescent="0.2">
      <c r="A32" s="19"/>
      <c r="B32" s="7" t="s">
        <v>51</v>
      </c>
      <c r="C32" s="10">
        <v>1948</v>
      </c>
      <c r="D32" s="10" t="s">
        <v>50</v>
      </c>
      <c r="E32" s="8">
        <v>597</v>
      </c>
      <c r="F32" s="8">
        <v>706</v>
      </c>
      <c r="G32" s="8">
        <v>645</v>
      </c>
      <c r="H32" s="10">
        <v>576</v>
      </c>
      <c r="I32">
        <f>SUM(E32:H32)</f>
        <v>2524</v>
      </c>
    </row>
  </sheetData>
  <mergeCells count="3">
    <mergeCell ref="A4:A14"/>
    <mergeCell ref="A16:A24"/>
    <mergeCell ref="A26:A32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4FCB5-75CE-4E5A-B2B6-B982B70BC3C7}">
  <dimension ref="A1:G32"/>
  <sheetViews>
    <sheetView workbookViewId="0">
      <selection activeCell="H32" sqref="H32"/>
    </sheetView>
  </sheetViews>
  <sheetFormatPr baseColWidth="10" defaultColWidth="8.83203125" defaultRowHeight="15" x14ac:dyDescent="0.2"/>
  <cols>
    <col min="1" max="1" width="23" bestFit="1" customWidth="1"/>
    <col min="2" max="2" width="102.5" bestFit="1" customWidth="1"/>
    <col min="4" max="4" width="17.33203125" hidden="1" customWidth="1"/>
  </cols>
  <sheetData>
    <row r="1" spans="1:7" ht="19" x14ac:dyDescent="0.2">
      <c r="B1" s="12" t="s">
        <v>53</v>
      </c>
    </row>
    <row r="2" spans="1:7" ht="19" x14ac:dyDescent="0.2">
      <c r="A2" t="s">
        <v>58</v>
      </c>
      <c r="B2" s="12"/>
    </row>
    <row r="3" spans="1:7" x14ac:dyDescent="0.2">
      <c r="A3" s="6" t="s">
        <v>45</v>
      </c>
      <c r="B3" s="6" t="s">
        <v>44</v>
      </c>
      <c r="C3" s="6" t="s">
        <v>27</v>
      </c>
      <c r="D3" s="6" t="s">
        <v>25</v>
      </c>
      <c r="E3" s="6" t="s">
        <v>22</v>
      </c>
      <c r="F3" s="6" t="s">
        <v>23</v>
      </c>
      <c r="G3" s="6" t="s">
        <v>24</v>
      </c>
    </row>
    <row r="4" spans="1:7" x14ac:dyDescent="0.2">
      <c r="A4" s="19" t="s">
        <v>46</v>
      </c>
      <c r="B4" s="7" t="s">
        <v>30</v>
      </c>
      <c r="C4" s="8">
        <v>5002</v>
      </c>
      <c r="D4" s="9" t="s">
        <v>21</v>
      </c>
      <c r="E4" s="8">
        <v>1630</v>
      </c>
      <c r="F4" s="8">
        <v>1812</v>
      </c>
      <c r="G4" s="8">
        <v>1560</v>
      </c>
    </row>
    <row r="5" spans="1:7" x14ac:dyDescent="0.2">
      <c r="A5" s="19"/>
      <c r="B5" s="8"/>
      <c r="C5" s="8"/>
      <c r="D5" s="8"/>
      <c r="E5" s="8"/>
      <c r="F5" s="8"/>
      <c r="G5" s="8"/>
    </row>
    <row r="6" spans="1:7" x14ac:dyDescent="0.2">
      <c r="A6" s="19"/>
      <c r="B6" s="7" t="s">
        <v>26</v>
      </c>
      <c r="C6" s="8">
        <v>4982</v>
      </c>
      <c r="D6" s="9" t="s">
        <v>28</v>
      </c>
      <c r="E6" s="8">
        <v>1623</v>
      </c>
      <c r="F6" s="8">
        <v>1801</v>
      </c>
      <c r="G6" s="8">
        <v>1558</v>
      </c>
    </row>
    <row r="7" spans="1:7" x14ac:dyDescent="0.2">
      <c r="A7" s="19"/>
      <c r="B7" s="8"/>
      <c r="C7" s="8"/>
      <c r="D7" s="8"/>
      <c r="E7" s="8"/>
      <c r="F7" s="8"/>
      <c r="G7" s="8"/>
    </row>
    <row r="8" spans="1:7" x14ac:dyDescent="0.2">
      <c r="A8" s="19"/>
      <c r="B8" s="7" t="s">
        <v>29</v>
      </c>
      <c r="C8" s="10">
        <v>2362</v>
      </c>
      <c r="D8" s="10" t="s">
        <v>31</v>
      </c>
      <c r="E8" s="8">
        <v>727</v>
      </c>
      <c r="F8" s="8">
        <v>844</v>
      </c>
      <c r="G8" s="8">
        <v>791</v>
      </c>
    </row>
    <row r="9" spans="1:7" x14ac:dyDescent="0.2">
      <c r="A9" s="19"/>
      <c r="B9" s="8"/>
      <c r="C9" s="8"/>
      <c r="D9" s="8"/>
      <c r="E9" s="8"/>
      <c r="F9" s="8"/>
      <c r="G9" s="8"/>
    </row>
    <row r="10" spans="1:7" x14ac:dyDescent="0.2">
      <c r="A10" s="19"/>
      <c r="B10" s="7" t="s">
        <v>32</v>
      </c>
      <c r="C10" s="10">
        <v>2361</v>
      </c>
      <c r="D10" s="10" t="s">
        <v>33</v>
      </c>
      <c r="E10" s="8">
        <v>727</v>
      </c>
      <c r="F10" s="8">
        <v>844</v>
      </c>
      <c r="G10" s="8">
        <v>790</v>
      </c>
    </row>
    <row r="11" spans="1:7" x14ac:dyDescent="0.2">
      <c r="A11" s="19"/>
      <c r="B11" s="8"/>
      <c r="C11" s="8"/>
      <c r="D11" s="8"/>
      <c r="E11" s="8"/>
      <c r="F11" s="8"/>
      <c r="G11" s="8"/>
    </row>
    <row r="12" spans="1:7" x14ac:dyDescent="0.2">
      <c r="A12" s="19"/>
      <c r="B12" s="7" t="s">
        <v>34</v>
      </c>
      <c r="C12" s="10">
        <v>2361</v>
      </c>
      <c r="D12" s="10" t="s">
        <v>33</v>
      </c>
      <c r="E12" s="8">
        <v>727</v>
      </c>
      <c r="F12" s="8">
        <v>844</v>
      </c>
      <c r="G12" s="8">
        <v>790</v>
      </c>
    </row>
    <row r="13" spans="1:7" x14ac:dyDescent="0.2">
      <c r="A13" s="19"/>
      <c r="B13" s="8"/>
      <c r="C13" s="8"/>
      <c r="D13" s="8"/>
      <c r="E13" s="8"/>
      <c r="F13" s="8"/>
      <c r="G13" s="8"/>
    </row>
    <row r="14" spans="1:7" x14ac:dyDescent="0.2">
      <c r="A14" s="19"/>
      <c r="B14" s="7" t="s">
        <v>35</v>
      </c>
      <c r="C14" s="10">
        <v>2360</v>
      </c>
      <c r="D14" s="10" t="s">
        <v>36</v>
      </c>
      <c r="E14" s="8">
        <v>727</v>
      </c>
      <c r="F14" s="8">
        <v>843</v>
      </c>
      <c r="G14" s="8">
        <v>790</v>
      </c>
    </row>
    <row r="15" spans="1:7" x14ac:dyDescent="0.2">
      <c r="A15" s="11"/>
      <c r="B15" s="11"/>
      <c r="C15" s="11"/>
      <c r="D15" s="11"/>
      <c r="E15" s="11"/>
      <c r="F15" s="11"/>
      <c r="G15" s="11"/>
    </row>
    <row r="16" spans="1:7" x14ac:dyDescent="0.2">
      <c r="A16" s="19" t="s">
        <v>47</v>
      </c>
      <c r="B16" s="7" t="s">
        <v>37</v>
      </c>
      <c r="C16" s="10">
        <v>2007</v>
      </c>
      <c r="D16" s="10" t="s">
        <v>38</v>
      </c>
      <c r="E16" s="8">
        <v>623</v>
      </c>
      <c r="F16" s="8">
        <v>722</v>
      </c>
      <c r="G16" s="8">
        <v>662</v>
      </c>
    </row>
    <row r="17" spans="1:7" x14ac:dyDescent="0.2">
      <c r="A17" s="19"/>
      <c r="B17" s="8"/>
      <c r="C17" s="8"/>
      <c r="D17" s="8"/>
      <c r="E17" s="8"/>
      <c r="F17" s="8"/>
      <c r="G17" s="8"/>
    </row>
    <row r="18" spans="1:7" x14ac:dyDescent="0.2">
      <c r="A18" s="19"/>
      <c r="B18" s="7" t="s">
        <v>39</v>
      </c>
      <c r="C18" s="10">
        <v>2007</v>
      </c>
      <c r="D18" s="10" t="s">
        <v>38</v>
      </c>
      <c r="E18" s="8">
        <v>623</v>
      </c>
      <c r="F18" s="8">
        <v>722</v>
      </c>
      <c r="G18" s="8">
        <v>662</v>
      </c>
    </row>
    <row r="19" spans="1:7" x14ac:dyDescent="0.2">
      <c r="A19" s="19"/>
      <c r="B19" s="8"/>
      <c r="C19" s="8"/>
      <c r="D19" s="8"/>
      <c r="E19" s="8"/>
      <c r="F19" s="8"/>
      <c r="G19" s="8"/>
    </row>
    <row r="20" spans="1:7" x14ac:dyDescent="0.2">
      <c r="A20" s="19"/>
      <c r="B20" s="7" t="s">
        <v>40</v>
      </c>
      <c r="C20" s="10">
        <v>1606</v>
      </c>
      <c r="D20" s="10" t="s">
        <v>41</v>
      </c>
      <c r="E20" s="8">
        <v>527</v>
      </c>
      <c r="F20" s="8">
        <v>579</v>
      </c>
      <c r="G20" s="8">
        <v>500</v>
      </c>
    </row>
    <row r="21" spans="1:7" x14ac:dyDescent="0.2">
      <c r="A21" s="19"/>
      <c r="B21" s="8"/>
      <c r="C21" s="8"/>
      <c r="D21" s="8"/>
      <c r="E21" s="8"/>
      <c r="F21" s="8"/>
      <c r="G21" s="8"/>
    </row>
    <row r="22" spans="1:7" x14ac:dyDescent="0.2">
      <c r="A22" s="19"/>
      <c r="B22" s="7" t="s">
        <v>42</v>
      </c>
      <c r="C22" s="10">
        <v>1606</v>
      </c>
      <c r="D22" s="10" t="s">
        <v>41</v>
      </c>
      <c r="E22" s="8">
        <v>527</v>
      </c>
      <c r="F22" s="8">
        <v>579</v>
      </c>
      <c r="G22" s="8">
        <v>500</v>
      </c>
    </row>
    <row r="23" spans="1:7" x14ac:dyDescent="0.2">
      <c r="A23" s="19"/>
      <c r="B23" s="8"/>
      <c r="C23" s="8"/>
      <c r="D23" s="8"/>
      <c r="E23" s="8"/>
      <c r="F23" s="8"/>
      <c r="G23" s="8"/>
    </row>
    <row r="24" spans="1:7" x14ac:dyDescent="0.2">
      <c r="A24" s="19"/>
      <c r="B24" s="7" t="s">
        <v>48</v>
      </c>
      <c r="C24" s="10">
        <v>1570</v>
      </c>
      <c r="D24" s="10" t="s">
        <v>43</v>
      </c>
      <c r="E24" s="8">
        <v>514</v>
      </c>
      <c r="F24" s="8">
        <v>568</v>
      </c>
      <c r="G24" s="8">
        <v>488</v>
      </c>
    </row>
    <row r="25" spans="1:7" x14ac:dyDescent="0.2">
      <c r="A25" s="11"/>
      <c r="B25" s="11"/>
      <c r="C25" s="11"/>
      <c r="D25" s="11"/>
      <c r="E25" s="11"/>
      <c r="F25" s="11"/>
      <c r="G25" s="11"/>
    </row>
    <row r="26" spans="1:7" x14ac:dyDescent="0.2">
      <c r="A26" s="19" t="s">
        <v>52</v>
      </c>
      <c r="B26" s="7" t="s">
        <v>37</v>
      </c>
      <c r="C26" s="10">
        <v>2007</v>
      </c>
      <c r="D26" s="10" t="s">
        <v>38</v>
      </c>
      <c r="E26" s="8">
        <v>623</v>
      </c>
      <c r="F26" s="8">
        <v>722</v>
      </c>
      <c r="G26" s="8">
        <v>662</v>
      </c>
    </row>
    <row r="27" spans="1:7" x14ac:dyDescent="0.2">
      <c r="A27" s="19"/>
      <c r="B27" s="8"/>
      <c r="C27" s="8"/>
      <c r="D27" s="8"/>
      <c r="E27" s="8"/>
      <c r="F27" s="8"/>
      <c r="G27" s="8"/>
    </row>
    <row r="28" spans="1:7" x14ac:dyDescent="0.2">
      <c r="A28" s="19"/>
      <c r="B28" s="7" t="s">
        <v>39</v>
      </c>
      <c r="C28" s="10">
        <v>2007</v>
      </c>
      <c r="D28" s="10" t="s">
        <v>38</v>
      </c>
      <c r="E28" s="8">
        <v>623</v>
      </c>
      <c r="F28" s="8">
        <v>722</v>
      </c>
      <c r="G28" s="8">
        <v>662</v>
      </c>
    </row>
    <row r="29" spans="1:7" x14ac:dyDescent="0.2">
      <c r="A29" s="19"/>
      <c r="B29" s="8"/>
      <c r="C29" s="8"/>
      <c r="D29" s="8"/>
      <c r="E29" s="8"/>
      <c r="F29" s="8"/>
      <c r="G29" s="8"/>
    </row>
    <row r="30" spans="1:7" x14ac:dyDescent="0.2">
      <c r="A30" s="19"/>
      <c r="B30" s="7" t="s">
        <v>49</v>
      </c>
      <c r="C30" s="10">
        <v>2007</v>
      </c>
      <c r="D30" s="10" t="s">
        <v>38</v>
      </c>
      <c r="E30" s="8">
        <v>623</v>
      </c>
      <c r="F30" s="8">
        <v>722</v>
      </c>
      <c r="G30" s="8">
        <v>662</v>
      </c>
    </row>
    <row r="31" spans="1:7" x14ac:dyDescent="0.2">
      <c r="A31" s="19"/>
      <c r="B31" s="8"/>
      <c r="C31" s="8"/>
      <c r="D31" s="8"/>
      <c r="E31" s="8"/>
      <c r="F31" s="8"/>
      <c r="G31" s="8"/>
    </row>
    <row r="32" spans="1:7" x14ac:dyDescent="0.2">
      <c r="A32" s="19"/>
      <c r="B32" s="7" t="s">
        <v>51</v>
      </c>
      <c r="C32" s="10">
        <v>1948</v>
      </c>
      <c r="D32" s="10" t="s">
        <v>50</v>
      </c>
      <c r="E32" s="8">
        <v>597</v>
      </c>
      <c r="F32" s="8">
        <v>706</v>
      </c>
      <c r="G32" s="8">
        <v>645</v>
      </c>
    </row>
  </sheetData>
  <mergeCells count="3">
    <mergeCell ref="A4:A14"/>
    <mergeCell ref="A16:A24"/>
    <mergeCell ref="A26:A32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7C17-2E09-4038-A1F7-34F08BFFEE20}">
  <dimension ref="A1:D32"/>
  <sheetViews>
    <sheetView workbookViewId="0">
      <selection activeCell="C1" sqref="C1:C1048576"/>
    </sheetView>
  </sheetViews>
  <sheetFormatPr baseColWidth="10" defaultColWidth="8.83203125" defaultRowHeight="15" x14ac:dyDescent="0.2"/>
  <cols>
    <col min="1" max="1" width="23" bestFit="1" customWidth="1"/>
    <col min="2" max="2" width="102.5" bestFit="1" customWidth="1"/>
    <col min="4" max="4" width="17.33203125" hidden="1" customWidth="1"/>
  </cols>
  <sheetData>
    <row r="1" spans="1:4" ht="19" x14ac:dyDescent="0.2">
      <c r="B1" s="12" t="s">
        <v>54</v>
      </c>
    </row>
    <row r="2" spans="1:4" ht="19" x14ac:dyDescent="0.2">
      <c r="A2" t="s">
        <v>59</v>
      </c>
      <c r="B2" s="12"/>
    </row>
    <row r="3" spans="1:4" x14ac:dyDescent="0.2">
      <c r="A3" s="6" t="s">
        <v>45</v>
      </c>
      <c r="B3" s="6" t="s">
        <v>44</v>
      </c>
      <c r="C3" s="6" t="s">
        <v>27</v>
      </c>
      <c r="D3" s="6" t="s">
        <v>25</v>
      </c>
    </row>
    <row r="4" spans="1:4" x14ac:dyDescent="0.2">
      <c r="A4" s="19" t="s">
        <v>46</v>
      </c>
      <c r="B4" s="7" t="s">
        <v>30</v>
      </c>
      <c r="C4" s="8">
        <v>1510</v>
      </c>
      <c r="D4" s="9" t="s">
        <v>21</v>
      </c>
    </row>
    <row r="5" spans="1:4" x14ac:dyDescent="0.2">
      <c r="A5" s="19"/>
      <c r="B5" s="8"/>
      <c r="C5" s="8"/>
      <c r="D5" s="8"/>
    </row>
    <row r="6" spans="1:4" x14ac:dyDescent="0.2">
      <c r="A6" s="19"/>
      <c r="B6" s="7" t="s">
        <v>26</v>
      </c>
      <c r="C6" s="8">
        <v>1502</v>
      </c>
      <c r="D6" s="9" t="s">
        <v>28</v>
      </c>
    </row>
    <row r="7" spans="1:4" x14ac:dyDescent="0.2">
      <c r="A7" s="19"/>
      <c r="B7" s="8"/>
      <c r="C7" s="8"/>
      <c r="D7" s="8"/>
    </row>
    <row r="8" spans="1:4" x14ac:dyDescent="0.2">
      <c r="A8" s="19"/>
      <c r="B8" s="7" t="s">
        <v>29</v>
      </c>
      <c r="C8" s="10">
        <v>712</v>
      </c>
      <c r="D8" s="10" t="s">
        <v>31</v>
      </c>
    </row>
    <row r="9" spans="1:4" x14ac:dyDescent="0.2">
      <c r="A9" s="19"/>
      <c r="B9" s="8"/>
      <c r="C9" s="8"/>
      <c r="D9" s="8"/>
    </row>
    <row r="10" spans="1:4" x14ac:dyDescent="0.2">
      <c r="A10" s="19"/>
      <c r="B10" s="7" t="s">
        <v>32</v>
      </c>
      <c r="C10" s="10">
        <v>708</v>
      </c>
      <c r="D10" s="10" t="s">
        <v>33</v>
      </c>
    </row>
    <row r="11" spans="1:4" x14ac:dyDescent="0.2">
      <c r="A11" s="19"/>
      <c r="B11" s="8"/>
      <c r="C11" s="8"/>
      <c r="D11" s="8"/>
    </row>
    <row r="12" spans="1:4" x14ac:dyDescent="0.2">
      <c r="A12" s="19"/>
      <c r="B12" s="7" t="s">
        <v>34</v>
      </c>
      <c r="C12" s="10">
        <v>708</v>
      </c>
      <c r="D12" s="10" t="s">
        <v>33</v>
      </c>
    </row>
    <row r="13" spans="1:4" x14ac:dyDescent="0.2">
      <c r="A13" s="19"/>
      <c r="B13" s="8"/>
      <c r="C13" s="8"/>
      <c r="D13" s="8"/>
    </row>
    <row r="14" spans="1:4" x14ac:dyDescent="0.2">
      <c r="A14" s="19"/>
      <c r="B14" s="7" t="s">
        <v>35</v>
      </c>
      <c r="C14" s="10">
        <v>708</v>
      </c>
      <c r="D14" s="10" t="s">
        <v>36</v>
      </c>
    </row>
    <row r="15" spans="1:4" x14ac:dyDescent="0.2">
      <c r="A15" s="11"/>
      <c r="B15" s="11"/>
      <c r="C15" s="11"/>
      <c r="D15" s="11"/>
    </row>
    <row r="16" spans="1:4" x14ac:dyDescent="0.2">
      <c r="A16" s="19" t="s">
        <v>47</v>
      </c>
      <c r="B16" s="7" t="s">
        <v>37</v>
      </c>
      <c r="C16" s="10">
        <v>602</v>
      </c>
      <c r="D16" s="10" t="s">
        <v>38</v>
      </c>
    </row>
    <row r="17" spans="1:4" x14ac:dyDescent="0.2">
      <c r="A17" s="19"/>
      <c r="B17" s="8"/>
      <c r="C17" s="8"/>
      <c r="D17" s="8"/>
    </row>
    <row r="18" spans="1:4" x14ac:dyDescent="0.2">
      <c r="A18" s="19"/>
      <c r="B18" s="7" t="s">
        <v>39</v>
      </c>
      <c r="C18" s="10">
        <v>602</v>
      </c>
      <c r="D18" s="10" t="s">
        <v>38</v>
      </c>
    </row>
    <row r="19" spans="1:4" x14ac:dyDescent="0.2">
      <c r="A19" s="19"/>
      <c r="B19" s="8"/>
      <c r="C19" s="8"/>
      <c r="D19" s="8"/>
    </row>
    <row r="20" spans="1:4" x14ac:dyDescent="0.2">
      <c r="A20" s="19"/>
      <c r="B20" s="7" t="s">
        <v>40</v>
      </c>
      <c r="C20" s="10">
        <v>517</v>
      </c>
      <c r="D20" s="10" t="s">
        <v>41</v>
      </c>
    </row>
    <row r="21" spans="1:4" x14ac:dyDescent="0.2">
      <c r="A21" s="19"/>
      <c r="B21" s="8"/>
      <c r="C21" s="8"/>
      <c r="D21" s="8"/>
    </row>
    <row r="22" spans="1:4" x14ac:dyDescent="0.2">
      <c r="A22" s="19"/>
      <c r="B22" s="7" t="s">
        <v>42</v>
      </c>
      <c r="C22" s="10">
        <v>517</v>
      </c>
      <c r="D22" s="10" t="s">
        <v>41</v>
      </c>
    </row>
    <row r="23" spans="1:4" x14ac:dyDescent="0.2">
      <c r="A23" s="19"/>
      <c r="B23" s="8"/>
      <c r="C23" s="8"/>
      <c r="D23" s="8"/>
    </row>
    <row r="24" spans="1:4" x14ac:dyDescent="0.2">
      <c r="A24" s="19"/>
      <c r="B24" s="7" t="s">
        <v>48</v>
      </c>
      <c r="C24" s="10">
        <v>502</v>
      </c>
      <c r="D24" s="10" t="s">
        <v>43</v>
      </c>
    </row>
    <row r="25" spans="1:4" x14ac:dyDescent="0.2">
      <c r="A25" s="11"/>
      <c r="B25" s="11"/>
      <c r="C25" s="11"/>
      <c r="D25" s="11"/>
    </row>
    <row r="26" spans="1:4" x14ac:dyDescent="0.2">
      <c r="A26" s="19" t="s">
        <v>52</v>
      </c>
      <c r="B26" s="7" t="s">
        <v>37</v>
      </c>
      <c r="C26" s="10">
        <v>602</v>
      </c>
      <c r="D26" s="10" t="s">
        <v>38</v>
      </c>
    </row>
    <row r="27" spans="1:4" x14ac:dyDescent="0.2">
      <c r="A27" s="19"/>
      <c r="B27" s="8"/>
      <c r="C27" s="8"/>
      <c r="D27" s="8"/>
    </row>
    <row r="28" spans="1:4" x14ac:dyDescent="0.2">
      <c r="A28" s="19"/>
      <c r="B28" s="7" t="s">
        <v>39</v>
      </c>
      <c r="C28" s="10">
        <v>602</v>
      </c>
      <c r="D28" s="10" t="s">
        <v>38</v>
      </c>
    </row>
    <row r="29" spans="1:4" x14ac:dyDescent="0.2">
      <c r="A29" s="19"/>
      <c r="B29" s="8"/>
      <c r="C29" s="8"/>
      <c r="D29" s="8"/>
    </row>
    <row r="30" spans="1:4" x14ac:dyDescent="0.2">
      <c r="A30" s="19"/>
      <c r="B30" s="7" t="s">
        <v>49</v>
      </c>
      <c r="C30" s="10">
        <v>602</v>
      </c>
      <c r="D30" s="10" t="s">
        <v>38</v>
      </c>
    </row>
    <row r="31" spans="1:4" x14ac:dyDescent="0.2">
      <c r="A31" s="19"/>
      <c r="B31" s="8"/>
      <c r="C31" s="8"/>
      <c r="D31" s="8"/>
    </row>
    <row r="32" spans="1:4" x14ac:dyDescent="0.2">
      <c r="A32" s="19"/>
      <c r="B32" s="7" t="s">
        <v>51</v>
      </c>
      <c r="C32" s="10">
        <v>576</v>
      </c>
      <c r="D32" s="10" t="s">
        <v>50</v>
      </c>
    </row>
  </sheetData>
  <mergeCells count="3">
    <mergeCell ref="A4:A14"/>
    <mergeCell ref="A16:A24"/>
    <mergeCell ref="A26:A32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648E-A704-4418-85E0-A6EAAFF752CE}">
  <sheetPr>
    <tabColor theme="9"/>
  </sheetPr>
  <dimension ref="A1:F32"/>
  <sheetViews>
    <sheetView workbookViewId="0">
      <selection activeCell="F33" sqref="F33"/>
    </sheetView>
  </sheetViews>
  <sheetFormatPr baseColWidth="10" defaultColWidth="8.83203125" defaultRowHeight="15" x14ac:dyDescent="0.2"/>
  <cols>
    <col min="1" max="1" width="23" bestFit="1" customWidth="1"/>
    <col min="2" max="2" width="102.5" bestFit="1" customWidth="1"/>
    <col min="4" max="4" width="17.33203125" hidden="1" customWidth="1"/>
  </cols>
  <sheetData>
    <row r="1" spans="1:4" ht="19" x14ac:dyDescent="0.2">
      <c r="B1" s="12" t="s">
        <v>55</v>
      </c>
    </row>
    <row r="2" spans="1:4" ht="19" x14ac:dyDescent="0.2">
      <c r="A2" t="s">
        <v>56</v>
      </c>
      <c r="B2" s="12"/>
    </row>
    <row r="3" spans="1:4" x14ac:dyDescent="0.2">
      <c r="A3" s="6" t="s">
        <v>45</v>
      </c>
      <c r="B3" s="6" t="s">
        <v>44</v>
      </c>
      <c r="C3" s="6" t="s">
        <v>27</v>
      </c>
      <c r="D3" s="6" t="s">
        <v>25</v>
      </c>
    </row>
    <row r="4" spans="1:4" x14ac:dyDescent="0.2">
      <c r="A4" s="19" t="s">
        <v>46</v>
      </c>
      <c r="B4" s="7" t="s">
        <v>30</v>
      </c>
      <c r="C4" s="14">
        <v>1512</v>
      </c>
      <c r="D4" s="9" t="s">
        <v>21</v>
      </c>
    </row>
    <row r="5" spans="1:4" x14ac:dyDescent="0.2">
      <c r="A5" s="19"/>
      <c r="B5" s="8"/>
      <c r="C5" s="14"/>
      <c r="D5" s="8"/>
    </row>
    <row r="6" spans="1:4" x14ac:dyDescent="0.2">
      <c r="A6" s="19"/>
      <c r="B6" s="7" t="s">
        <v>26</v>
      </c>
      <c r="C6" s="14">
        <v>1487</v>
      </c>
      <c r="D6" s="9" t="s">
        <v>28</v>
      </c>
    </row>
    <row r="7" spans="1:4" x14ac:dyDescent="0.2">
      <c r="A7" s="19"/>
      <c r="B7" s="8"/>
      <c r="C7" s="14"/>
      <c r="D7" s="8"/>
    </row>
    <row r="8" spans="1:4" x14ac:dyDescent="0.2">
      <c r="A8" s="19"/>
      <c r="B8" s="7" t="s">
        <v>29</v>
      </c>
      <c r="C8" s="15">
        <v>594</v>
      </c>
      <c r="D8" s="10" t="s">
        <v>31</v>
      </c>
    </row>
    <row r="9" spans="1:4" x14ac:dyDescent="0.2">
      <c r="A9" s="19"/>
      <c r="B9" s="8"/>
      <c r="C9" s="14"/>
      <c r="D9" s="8"/>
    </row>
    <row r="10" spans="1:4" x14ac:dyDescent="0.2">
      <c r="A10" s="19"/>
      <c r="B10" s="13" t="s">
        <v>32</v>
      </c>
      <c r="C10" s="16" t="s">
        <v>57</v>
      </c>
      <c r="D10" s="10" t="s">
        <v>33</v>
      </c>
    </row>
    <row r="11" spans="1:4" x14ac:dyDescent="0.2">
      <c r="A11" s="19"/>
      <c r="B11" s="8"/>
      <c r="C11" s="14"/>
      <c r="D11" s="8"/>
    </row>
    <row r="12" spans="1:4" x14ac:dyDescent="0.2">
      <c r="A12" s="19"/>
      <c r="B12" s="7" t="s">
        <v>34</v>
      </c>
      <c r="C12" s="15">
        <v>594</v>
      </c>
      <c r="D12" s="10" t="s">
        <v>33</v>
      </c>
    </row>
    <row r="13" spans="1:4" x14ac:dyDescent="0.2">
      <c r="A13" s="19"/>
      <c r="B13" s="8"/>
      <c r="C13" s="14"/>
      <c r="D13" s="8"/>
    </row>
    <row r="14" spans="1:4" x14ac:dyDescent="0.2">
      <c r="A14" s="19"/>
      <c r="B14" s="7" t="s">
        <v>35</v>
      </c>
      <c r="C14" s="15">
        <v>593</v>
      </c>
      <c r="D14" s="10" t="s">
        <v>36</v>
      </c>
    </row>
    <row r="15" spans="1:4" x14ac:dyDescent="0.2">
      <c r="A15" s="11"/>
      <c r="B15" s="11"/>
      <c r="C15" s="18"/>
      <c r="D15" s="11"/>
    </row>
    <row r="16" spans="1:4" x14ac:dyDescent="0.2">
      <c r="A16" s="19" t="s">
        <v>47</v>
      </c>
      <c r="B16" s="13" t="s">
        <v>37</v>
      </c>
      <c r="C16" s="16" t="s">
        <v>57</v>
      </c>
      <c r="D16" s="10" t="s">
        <v>38</v>
      </c>
    </row>
    <row r="17" spans="1:6" x14ac:dyDescent="0.2">
      <c r="A17" s="19"/>
      <c r="B17" s="8"/>
      <c r="C17" s="14"/>
      <c r="D17" s="8"/>
    </row>
    <row r="18" spans="1:6" x14ac:dyDescent="0.2">
      <c r="A18" s="19"/>
      <c r="B18" s="7" t="s">
        <v>39</v>
      </c>
      <c r="C18" s="15">
        <v>588</v>
      </c>
      <c r="D18" s="10" t="s">
        <v>38</v>
      </c>
    </row>
    <row r="19" spans="1:6" x14ac:dyDescent="0.2">
      <c r="A19" s="19"/>
      <c r="B19" s="8"/>
      <c r="C19" s="14"/>
      <c r="D19" s="8"/>
    </row>
    <row r="20" spans="1:6" x14ac:dyDescent="0.2">
      <c r="A20" s="19"/>
      <c r="B20" s="7" t="s">
        <v>40</v>
      </c>
      <c r="C20" s="15">
        <v>387</v>
      </c>
      <c r="D20" s="10" t="s">
        <v>41</v>
      </c>
    </row>
    <row r="21" spans="1:6" x14ac:dyDescent="0.2">
      <c r="A21" s="19"/>
      <c r="B21" s="8"/>
      <c r="C21" s="14"/>
      <c r="D21" s="8"/>
    </row>
    <row r="22" spans="1:6" x14ac:dyDescent="0.2">
      <c r="A22" s="19"/>
      <c r="B22" s="7" t="s">
        <v>42</v>
      </c>
      <c r="C22" s="15">
        <v>352</v>
      </c>
      <c r="D22" s="10" t="s">
        <v>41</v>
      </c>
    </row>
    <row r="23" spans="1:6" x14ac:dyDescent="0.2">
      <c r="A23" s="19"/>
      <c r="B23" s="8"/>
      <c r="C23" s="14"/>
      <c r="D23" s="8"/>
    </row>
    <row r="24" spans="1:6" x14ac:dyDescent="0.2">
      <c r="A24" s="19"/>
      <c r="B24" s="7" t="s">
        <v>48</v>
      </c>
      <c r="C24" s="15">
        <v>281</v>
      </c>
      <c r="D24" s="10" t="s">
        <v>43</v>
      </c>
    </row>
    <row r="25" spans="1:6" x14ac:dyDescent="0.2">
      <c r="A25" s="11"/>
      <c r="B25" s="11"/>
      <c r="C25" s="18"/>
      <c r="D25" s="11"/>
    </row>
    <row r="26" spans="1:6" x14ac:dyDescent="0.2">
      <c r="A26" s="19" t="s">
        <v>52</v>
      </c>
      <c r="B26" s="13" t="s">
        <v>37</v>
      </c>
      <c r="C26" s="16" t="s">
        <v>57</v>
      </c>
      <c r="D26" s="10" t="s">
        <v>38</v>
      </c>
    </row>
    <row r="27" spans="1:6" x14ac:dyDescent="0.2">
      <c r="A27" s="19"/>
      <c r="B27" s="8"/>
      <c r="C27" s="5"/>
      <c r="D27" s="8"/>
    </row>
    <row r="28" spans="1:6" x14ac:dyDescent="0.2">
      <c r="A28" s="19"/>
      <c r="B28" s="7" t="s">
        <v>39</v>
      </c>
      <c r="C28" s="17">
        <v>589</v>
      </c>
      <c r="D28" s="10" t="s">
        <v>38</v>
      </c>
    </row>
    <row r="29" spans="1:6" x14ac:dyDescent="0.2">
      <c r="A29" s="19"/>
      <c r="B29" s="8"/>
      <c r="C29" s="5"/>
      <c r="D29" s="8"/>
    </row>
    <row r="30" spans="1:6" x14ac:dyDescent="0.2">
      <c r="A30" s="19"/>
      <c r="B30" s="7" t="s">
        <v>49</v>
      </c>
      <c r="C30" s="17">
        <v>575</v>
      </c>
      <c r="D30" s="10" t="s">
        <v>38</v>
      </c>
    </row>
    <row r="31" spans="1:6" x14ac:dyDescent="0.2">
      <c r="A31" s="19"/>
      <c r="B31" s="8"/>
      <c r="C31" s="5"/>
      <c r="D31" s="8"/>
    </row>
    <row r="32" spans="1:6" x14ac:dyDescent="0.2">
      <c r="A32" s="19"/>
      <c r="B32" s="7" t="s">
        <v>51</v>
      </c>
      <c r="C32" s="17">
        <v>382</v>
      </c>
      <c r="D32" s="10" t="s">
        <v>50</v>
      </c>
      <c r="E32">
        <v>2524</v>
      </c>
      <c r="F32">
        <f>SUM(C32:E32)</f>
        <v>2906</v>
      </c>
    </row>
  </sheetData>
  <mergeCells count="3">
    <mergeCell ref="A4:A14"/>
    <mergeCell ref="A16:A24"/>
    <mergeCell ref="A26:A32"/>
  </mergeCells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F8E2-849E-4973-A923-8AB659A41A31}">
  <sheetPr>
    <tabColor rgb="FFC00000"/>
  </sheetPr>
  <dimension ref="A1:C18"/>
  <sheetViews>
    <sheetView tabSelected="1" workbookViewId="0">
      <selection activeCell="E30" sqref="E30"/>
    </sheetView>
  </sheetViews>
  <sheetFormatPr baseColWidth="10" defaultColWidth="8.83203125" defaultRowHeight="15" x14ac:dyDescent="0.2"/>
  <cols>
    <col min="1" max="1" width="42.5" customWidth="1"/>
    <col min="2" max="2" width="32.83203125" customWidth="1"/>
  </cols>
  <sheetData>
    <row r="1" spans="1:3" s="2" customFormat="1" x14ac:dyDescent="0.2"/>
    <row r="2" spans="1:3" s="2" customFormat="1" x14ac:dyDescent="0.2"/>
    <row r="3" spans="1:3" s="2" customFormat="1" ht="16" x14ac:dyDescent="0.2">
      <c r="A3" s="2" t="s">
        <v>7</v>
      </c>
      <c r="B3" s="3" t="s">
        <v>8</v>
      </c>
      <c r="C3" s="2">
        <v>403</v>
      </c>
    </row>
    <row r="4" spans="1:3" s="2" customFormat="1" ht="32" x14ac:dyDescent="0.2">
      <c r="A4" s="2" t="s">
        <v>7</v>
      </c>
      <c r="B4" s="4" t="s">
        <v>9</v>
      </c>
      <c r="C4" s="2">
        <v>1570</v>
      </c>
    </row>
    <row r="5" spans="1:3" s="2" customFormat="1" x14ac:dyDescent="0.2"/>
    <row r="6" spans="1:3" s="2" customFormat="1" ht="16" x14ac:dyDescent="0.2">
      <c r="A6" s="2" t="s">
        <v>7</v>
      </c>
      <c r="B6" s="3" t="s">
        <v>10</v>
      </c>
      <c r="C6" s="2">
        <v>576</v>
      </c>
    </row>
    <row r="7" spans="1:3" s="2" customFormat="1" ht="32" x14ac:dyDescent="0.2">
      <c r="A7" s="2" t="s">
        <v>7</v>
      </c>
      <c r="B7" s="4" t="s">
        <v>11</v>
      </c>
      <c r="C7" s="2">
        <v>1948</v>
      </c>
    </row>
    <row r="8" spans="1:3" s="2" customFormat="1" x14ac:dyDescent="0.2"/>
    <row r="9" spans="1:3" s="2" customFormat="1" ht="16" x14ac:dyDescent="0.2">
      <c r="A9" s="2" t="s">
        <v>7</v>
      </c>
      <c r="B9" s="3" t="s">
        <v>13</v>
      </c>
      <c r="C9" s="2">
        <v>281</v>
      </c>
    </row>
    <row r="10" spans="1:3" s="2" customFormat="1" ht="16" x14ac:dyDescent="0.2">
      <c r="A10" s="2" t="s">
        <v>7</v>
      </c>
      <c r="B10" s="3" t="s">
        <v>12</v>
      </c>
      <c r="C10" s="2">
        <v>382</v>
      </c>
    </row>
    <row r="11" spans="1:3" s="2" customFormat="1" x14ac:dyDescent="0.2"/>
    <row r="12" spans="1:3" s="2" customFormat="1" ht="16" x14ac:dyDescent="0.2">
      <c r="A12" s="2" t="s">
        <v>7</v>
      </c>
      <c r="B12" s="4" t="s">
        <v>14</v>
      </c>
      <c r="C12" s="2">
        <v>2254</v>
      </c>
    </row>
    <row r="13" spans="1:3" s="2" customFormat="1" ht="16" x14ac:dyDescent="0.2">
      <c r="A13" s="2" t="s">
        <v>7</v>
      </c>
      <c r="B13" s="4" t="s">
        <v>15</v>
      </c>
      <c r="C13" s="2">
        <v>2906</v>
      </c>
    </row>
    <row r="14" spans="1:3" s="2" customFormat="1" x14ac:dyDescent="0.2"/>
    <row r="15" spans="1:3" s="2" customFormat="1" ht="16" x14ac:dyDescent="0.2">
      <c r="A15" s="2" t="s">
        <v>7</v>
      </c>
      <c r="B15" s="4" t="s">
        <v>16</v>
      </c>
      <c r="C15" s="2">
        <v>439</v>
      </c>
    </row>
    <row r="16" spans="1:3" s="2" customFormat="1" ht="16" x14ac:dyDescent="0.2">
      <c r="A16" s="2" t="s">
        <v>7</v>
      </c>
      <c r="B16" s="4" t="s">
        <v>18</v>
      </c>
      <c r="C16" s="2">
        <v>2552</v>
      </c>
    </row>
    <row r="17" spans="1:3" s="2" customFormat="1" ht="16" x14ac:dyDescent="0.2">
      <c r="A17" s="2" t="s">
        <v>7</v>
      </c>
      <c r="B17" s="4" t="s">
        <v>17</v>
      </c>
      <c r="C17" s="2">
        <v>2991</v>
      </c>
    </row>
    <row r="18" spans="1:3" s="2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Prolific Round 1-4</vt:lpstr>
      <vt:lpstr>Prolific Round 2-4</vt:lpstr>
      <vt:lpstr>Prolific Round 1</vt:lpstr>
      <vt:lpstr>Dynata Round 1 </vt:lpstr>
      <vt:lpstr>dynata_prolific_joint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Hoda, Zain</dc:creator>
  <cp:lastModifiedBy>Xiatian Iogansen</cp:lastModifiedBy>
  <dcterms:created xsi:type="dcterms:W3CDTF">2026-05-27T01:04:13Z</dcterms:created>
  <dcterms:modified xsi:type="dcterms:W3CDTF">2026-05-28T01:54:06Z</dcterms:modified>
</cp:coreProperties>
</file>