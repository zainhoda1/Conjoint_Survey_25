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main/model_output/apollo/battery/"/>
    </mc:Choice>
  </mc:AlternateContent>
  <xr:revisionPtr revIDLastSave="0" documentId="13_ncr:1_{09A91543-EA5D-6E4C-9006-C94CD8860974}" xr6:coauthVersionLast="47" xr6:coauthVersionMax="47" xr10:uidLastSave="{00000000-0000-0000-0000-000000000000}"/>
  <bookViews>
    <workbookView xWindow="0" yWindow="680" windowWidth="30240" windowHeight="17180" xr2:uid="{00000000-000D-0000-FFFF-FFFF00000000}"/>
  </bookViews>
  <sheets>
    <sheet name="coef_fit" sheetId="1" r:id="rId1"/>
    <sheet name="WTP_interpretation" sheetId="2" r:id="rId2"/>
    <sheet name="price sensitivity" sheetId="5" r:id="rId3"/>
    <sheet name="Factor_analysis" sheetId="3" r:id="rId4"/>
    <sheet name="Issue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22" i="2"/>
  <c r="D16" i="2"/>
  <c r="D20" i="2"/>
  <c r="D21" i="2"/>
  <c r="D19" i="2"/>
  <c r="D14" i="2"/>
  <c r="D15" i="2"/>
  <c r="D13" i="2"/>
  <c r="D32" i="2"/>
  <c r="D31" i="2"/>
  <c r="D30" i="2"/>
  <c r="D9" i="2"/>
  <c r="D8" i="2"/>
  <c r="D7" i="2"/>
</calcChain>
</file>

<file path=xl/sharedStrings.xml><?xml version="1.0" encoding="utf-8"?>
<sst xmlns="http://schemas.openxmlformats.org/spreadsheetml/2006/main" count="423" uniqueCount="221">
  <si>
    <t>variables/fit_indices</t>
  </si>
  <si>
    <t>est_m1</t>
  </si>
  <si>
    <t>std_err_m1</t>
  </si>
  <si>
    <t>p_val_m1</t>
  </si>
  <si>
    <t>sig_m1</t>
  </si>
  <si>
    <t>fit_indice_m1</t>
  </si>
  <si>
    <t>est_m2</t>
  </si>
  <si>
    <t>std_err_m2</t>
  </si>
  <si>
    <t>p_val_m2</t>
  </si>
  <si>
    <t>sig_m2</t>
  </si>
  <si>
    <t>fit_indice_m2</t>
  </si>
  <si>
    <t>est_m3</t>
  </si>
  <si>
    <t>std_err_m3</t>
  </si>
  <si>
    <t>p_val_m3</t>
  </si>
  <si>
    <t>sig_m3</t>
  </si>
  <si>
    <t>fit_indice_m3</t>
  </si>
  <si>
    <t>est_m4</t>
  </si>
  <si>
    <t>std_err_m4</t>
  </si>
  <si>
    <t>p_val_m4</t>
  </si>
  <si>
    <t>sig_m4</t>
  </si>
  <si>
    <t>fit_indice_m4</t>
  </si>
  <si>
    <t>b_mileage</t>
  </si>
  <si>
    <t>b_price</t>
  </si>
  <si>
    <t>b_range_year0</t>
  </si>
  <si>
    <t>b_degradation</t>
  </si>
  <si>
    <t>b_packreplace</t>
  </si>
  <si>
    <t>b_cellreplace</t>
  </si>
  <si>
    <t>b_mileage_a</t>
  </si>
  <si>
    <t>b_range_year0_a</t>
  </si>
  <si>
    <t>b_degradation_a</t>
  </si>
  <si>
    <t>b_packreplace_a</t>
  </si>
  <si>
    <t>b_cellreplace_a</t>
  </si>
  <si>
    <t>b_price_a</t>
  </si>
  <si>
    <t>b_mileage_b</t>
  </si>
  <si>
    <t>b_range_year0_b</t>
  </si>
  <si>
    <t>b_degradation_b</t>
  </si>
  <si>
    <t>b_packreplace_b</t>
  </si>
  <si>
    <t>b_cellreplace_b</t>
  </si>
  <si>
    <t>b_price_b</t>
  </si>
  <si>
    <t>delta_a</t>
  </si>
  <si>
    <t>gamma_used_bev_a</t>
  </si>
  <si>
    <t>gamma_EV_benefit_a</t>
  </si>
  <si>
    <t>gamma_EV_anxiety_a</t>
  </si>
  <si>
    <t>delta_b</t>
  </si>
  <si>
    <t>gamma_used_bev_b</t>
  </si>
  <si>
    <t>gamma_EV_benefit_b</t>
  </si>
  <si>
    <t>gamma_EV_anxiety_b</t>
  </si>
  <si>
    <t>b_mileage_c</t>
  </si>
  <si>
    <t>b_range_year0_c</t>
  </si>
  <si>
    <t>b_degradation_c</t>
  </si>
  <si>
    <t>b_packreplace_c</t>
  </si>
  <si>
    <t>b_cellreplace_c</t>
  </si>
  <si>
    <t>b_price_c</t>
  </si>
  <si>
    <t>delta_c</t>
  </si>
  <si>
    <t>gamma_used_bev_c</t>
  </si>
  <si>
    <t>gamma_EV_benefit_c</t>
  </si>
  <si>
    <t>gamma_EV_anxiety_c</t>
  </si>
  <si>
    <t>b_mileage_d</t>
  </si>
  <si>
    <t>b_range_year0_d</t>
  </si>
  <si>
    <t>b_degradation_d</t>
  </si>
  <si>
    <t>b_packreplace_d</t>
  </si>
  <si>
    <t>b_cellreplace_d</t>
  </si>
  <si>
    <t>b_price_d</t>
  </si>
  <si>
    <t>delta_d</t>
  </si>
  <si>
    <t>gamma_used_bev_d</t>
  </si>
  <si>
    <t>gamma_EV_benefit_d</t>
  </si>
  <si>
    <t>gamma_EV_anxiety_d</t>
  </si>
  <si>
    <t xml:space="preserve">Number of individuals                       </t>
  </si>
  <si>
    <t xml:space="preserve">Number of rows in database                  </t>
  </si>
  <si>
    <t xml:space="preserve">LL(start)                                   </t>
  </si>
  <si>
    <t xml:space="preserve">LL (whole model) at equal shares, LL(0)     </t>
  </si>
  <si>
    <t xml:space="preserve">LL (whole model) at observed shares, LL(C)  </t>
  </si>
  <si>
    <t xml:space="preserve">LL(final, whole model)                      </t>
  </si>
  <si>
    <t xml:space="preserve">Rho-squared vs equal shares                  </t>
  </si>
  <si>
    <t xml:space="preserve">Adj.Rho-squared vs equal shares              </t>
  </si>
  <si>
    <t xml:space="preserve">Rho-squared vs observed shares               </t>
  </si>
  <si>
    <t xml:space="preserve">Adj.Rho-squared vs observed shares           </t>
  </si>
  <si>
    <t xml:space="preserve">AIC                                         </t>
  </si>
  <si>
    <t xml:space="preserve">BIC                                         </t>
  </si>
  <si>
    <t>***</t>
  </si>
  <si>
    <t>373</t>
  </si>
  <si>
    <t>2238</t>
  </si>
  <si>
    <t>-3102.53</t>
  </si>
  <si>
    <t>-2995.04</t>
  </si>
  <si>
    <t>-2708.75</t>
  </si>
  <si>
    <t xml:space="preserve"> 0.1269 </t>
  </si>
  <si>
    <t xml:space="preserve"> 0.1247 </t>
  </si>
  <si>
    <t xml:space="preserve"> 0.0956 </t>
  </si>
  <si>
    <t xml:space="preserve"> 0.0943 </t>
  </si>
  <si>
    <t xml:space="preserve"> 5431.49 </t>
  </si>
  <si>
    <t xml:space="preserve"> 5471.48 </t>
  </si>
  <si>
    <t>.</t>
  </si>
  <si>
    <t>**</t>
  </si>
  <si>
    <t xml:space="preserve"> </t>
  </si>
  <si>
    <t>-3291.46</t>
  </si>
  <si>
    <t>-2495.65</t>
  </si>
  <si>
    <t xml:space="preserve"> 0.1956 </t>
  </si>
  <si>
    <t xml:space="preserve"> 0.1898 </t>
  </si>
  <si>
    <t xml:space="preserve"> 0.1667 </t>
  </si>
  <si>
    <t xml:space="preserve"> 0.1627 </t>
  </si>
  <si>
    <t xml:space="preserve"> 5027.3 </t>
  </si>
  <si>
    <t xml:space="preserve"> 5130.14 </t>
  </si>
  <si>
    <t>*</t>
  </si>
  <si>
    <t>-3440.89</t>
  </si>
  <si>
    <t>-2436.55</t>
  </si>
  <si>
    <t xml:space="preserve"> 0.2147 </t>
  </si>
  <si>
    <t xml:space="preserve"> 0.2053 </t>
  </si>
  <si>
    <t xml:space="preserve"> 0.1865 </t>
  </si>
  <si>
    <t xml:space="preserve"> 0.1798 </t>
  </si>
  <si>
    <t xml:space="preserve"> 4931.11 </t>
  </si>
  <si>
    <t xml:space="preserve"> 5096.79 </t>
  </si>
  <si>
    <t>-2544.79</t>
  </si>
  <si>
    <t>-2408.2</t>
  </si>
  <si>
    <t xml:space="preserve"> 0.2238 </t>
  </si>
  <si>
    <t xml:space="preserve"> 0.2109 </t>
  </si>
  <si>
    <t xml:space="preserve"> 0.1959 </t>
  </si>
  <si>
    <t xml:space="preserve"> 0.1866 </t>
  </si>
  <si>
    <t xml:space="preserve"> 4896.41 </t>
  </si>
  <si>
    <t xml:space="preserve"> 5124.94 </t>
  </si>
  <si>
    <t>b_no_choice_a</t>
  </si>
  <si>
    <t>b_no_choice_b</t>
  </si>
  <si>
    <t>b_no_choice_c</t>
  </si>
  <si>
    <t>b_no_choice_d</t>
  </si>
  <si>
    <t>b_no_choice</t>
  </si>
  <si>
    <t>mileage</t>
  </si>
  <si>
    <t>range_year0</t>
  </si>
  <si>
    <t>degradation</t>
  </si>
  <si>
    <t>packreplace</t>
  </si>
  <si>
    <t>cellreplace</t>
  </si>
  <si>
    <t>class_allocation</t>
  </si>
  <si>
    <t>share</t>
  </si>
  <si>
    <t>n</t>
  </si>
  <si>
    <t>no choice</t>
  </si>
  <si>
    <t>FA_EV_benefit</t>
  </si>
  <si>
    <t>FA_EV_anxiety</t>
  </si>
  <si>
    <t>next_veh_fuel_used_bev</t>
  </si>
  <si>
    <t>Class_1</t>
  </si>
  <si>
    <t>Class_2</t>
  </si>
  <si>
    <t>Class_3</t>
  </si>
  <si>
    <t>Class Characteristics</t>
  </si>
  <si>
    <t>People who are important to me think that I should buy an EV.</t>
  </si>
  <si>
    <t>Driving an EV would eventually result in cost savings.</t>
  </si>
  <si>
    <t>Driving an EV would be beneficial to the environment in the long term.</t>
  </si>
  <si>
    <t>If I owned a BEV, I would often worry about running out of charge.</t>
  </si>
  <si>
    <t>BEVs are less valuable than gasoline cars on the resale market, because the technology is always advancing.</t>
  </si>
  <si>
    <t>The price of an EV is too high.</t>
  </si>
  <si>
    <t>Class Name</t>
  </si>
  <si>
    <t>Attributes (WTP unit: $10,000)</t>
  </si>
  <si>
    <t>10,000 miles on the odometer</t>
  </si>
  <si>
    <t>100 miles of battery range</t>
  </si>
  <si>
    <t>refurbished pack replacement (vs new battery)</t>
  </si>
  <si>
    <t>refurbished cell replacement (vs new battery)</t>
  </si>
  <si>
    <t>Active Indicators (included in the model)</t>
  </si>
  <si>
    <t>factor score</t>
  </si>
  <si>
    <t>1 to 5 scale</t>
  </si>
  <si>
    <t>EVB_good_for_environment</t>
  </si>
  <si>
    <t>EVB_function_worse</t>
  </si>
  <si>
    <t>Inactive indicators (only used for describing the class)</t>
  </si>
  <si>
    <t>Not statistically significant at 90% confidence level</t>
  </si>
  <si>
    <t>base model (one class)</t>
  </si>
  <si>
    <t xml:space="preserve">* less concerns about BEV range --&gt; lower WTP for additional range, and also lower disutility for battery degradation
</t>
  </si>
  <si>
    <t xml:space="preserve">* most concerns about BEV range --&gt;higher WTP for additional range and higher disutility for mileage and battery degradation
* less postive attitudes towards EVB --&gt; higher disutility for refurbished EVBs. </t>
  </si>
  <si>
    <t xml:space="preserve">* some concerns about BEV range --&gt; higher WTP for additional range, and also higher disutility for battery degradation
* more likely to agree with the statement "Driving an EV would eventually result in cost savings" --&gt; less disutility for the mileage, as they are more likely to keep the vehicle for longer
* more postive attitudes towards EVB --&gt; lower disutility for refurbished EVBs. </t>
  </si>
  <si>
    <t>Estimate</t>
  </si>
  <si>
    <t>Rob.std.err.</t>
  </si>
  <si>
    <t>Rob.p-val(0)</t>
  </si>
  <si>
    <t>NA</t>
  </si>
  <si>
    <t>b_log_price_a</t>
  </si>
  <si>
    <t>b_log_price_b</t>
  </si>
  <si>
    <t>b_log_price_c</t>
  </si>
  <si>
    <t>:</t>
  </si>
  <si>
    <t>Model</t>
  </si>
  <si>
    <t>3-class (price)</t>
  </si>
  <si>
    <t>3-class (log_price)</t>
  </si>
  <si>
    <t>* The model captures heterogeneous monetary sensitivity without explicitly adding interactions with income.</t>
  </si>
  <si>
    <t>* log(price) model assumes that what matters is the percentage increase in price, not the dollar increase.</t>
  </si>
  <si>
    <t>* elasticity of utility with respect to price — that is, how much utility changes proportionally to a percentage change in price.</t>
  </si>
  <si>
    <t>Class_1 (veh_price (unit: $10,000))</t>
  </si>
  <si>
    <t>Class_2 veh_price (unit: $10,000)</t>
  </si>
  <si>
    <t>Class_3 veh_price (unit: $10,000)</t>
  </si>
  <si>
    <r>
      <rPr>
        <b/>
        <sz val="11"/>
        <color theme="1"/>
        <rFont val="Aptos Narrow"/>
        <scheme val="minor"/>
      </rPr>
      <t>BEV Cautiously Open Consumers:</t>
    </r>
    <r>
      <rPr>
        <sz val="11"/>
        <color theme="1"/>
        <rFont val="Aptos Narrow"/>
        <scheme val="minor"/>
      </rPr>
      <t xml:space="preserve"> most postive attitudes, anxiety level near neutral, moderately Interested in used BEV</t>
    </r>
  </si>
  <si>
    <r>
      <rPr>
        <b/>
        <sz val="11"/>
        <color theme="1"/>
        <rFont val="Aptos Narrow"/>
        <scheme val="minor"/>
      </rPr>
      <t>BEV Low-anxiety Consumers:</t>
    </r>
    <r>
      <rPr>
        <sz val="11"/>
        <color theme="1"/>
        <rFont val="Aptos Narrow"/>
        <scheme val="minor"/>
      </rPr>
      <t xml:space="preserve"> postive attitudes, least anxiety, moderately Interested in used BEV</t>
    </r>
  </si>
  <si>
    <r>
      <rPr>
        <b/>
        <sz val="11"/>
        <color theme="1"/>
        <rFont val="Aptos Narrow"/>
        <scheme val="minor"/>
      </rPr>
      <t>BEV Skeptics:</t>
    </r>
    <r>
      <rPr>
        <sz val="11"/>
        <color theme="1"/>
        <rFont val="Aptos Narrow"/>
        <scheme val="minor"/>
      </rPr>
      <t xml:space="preserve"> Negative attitudes, high anxiety, low used BEV interest</t>
    </r>
  </si>
  <si>
    <t>1% increase in annual battery degradation</t>
  </si>
  <si>
    <t>Orginal sample</t>
  </si>
  <si>
    <t>ATT_EVB_environment</t>
  </si>
  <si>
    <t>ATT_EVB_function</t>
  </si>
  <si>
    <t>Showing 1 to 3 of 3 entries, 7 total columns</t>
  </si>
  <si>
    <t>HH_income</t>
  </si>
  <si>
    <t>num</t>
  </si>
  <si>
    <t>Reduced sample (BEV price&gt;= $20K + at least 3 price levels)</t>
  </si>
  <si>
    <t>Table 4. Attributes and attribute levels</t>
  </si>
  <si>
    <t>Attributes</t>
  </si>
  <si>
    <t>Levels</t>
  </si>
  <si>
    <t>Mileage</t>
  </si>
  <si>
    <t>Ranges from 15,000 to 50,000 miles, increasing in increments of 500 miles.</t>
  </si>
  <si>
    <t>Purchase price </t>
  </si>
  <si>
    <t>Ranges from 80% to 120% of the respondents’ self-reported maximum budget for their next vehicle, in 10% increments.</t>
  </si>
  <si>
    <t>Battery refurbishment history</t>
  </si>
  <si>
    <t>Original – The battery remains in its factory-original condition with no repairs or replacements.</t>
  </si>
  <si>
    <t>Some battery cells replaced – A portion of the battery cells has been replaced to address performance issues or extend battery life, while the rest remains original.</t>
  </si>
  <si>
    <t>Entire battery pack replaced – The full battery pack has been replaced with a new, refurbished, or used pack, typically due to a decline in battery performance below a certain threshold.</t>
  </si>
  <si>
    <t>Electric range;</t>
  </si>
  <si>
    <t>Battery State-of-Health</t>
  </si>
  <si>
    <t>Initial Electric Range (Year 0): Ranges from 200 to 360 miles, in increments of 40 miles.</t>
  </si>
  <si>
    <t>Battery Degradation: Indicates the average annual loss in both electric range and battery state-of-health, varying from 1% to 8% in 1% increments.</t>
  </si>
  <si>
    <t>Narrow price range (80–120% in 10% steps) → weak identification of β_price.</t>
  </si>
  <si>
    <t>If price doesn’t vary much across alternatives (and across choice tasks), the model estimates a small or imprecise price coefficient</t>
  </si>
  <si>
    <t>Price correlated with respondents’ budgets / other attributes</t>
  </si>
  <si>
    <t>price depends on the respondent’s budget, it may correlate with demographics or willingness to pay (endogeneity)</t>
  </si>
  <si>
    <t>Fix:</t>
  </si>
  <si>
    <t>Unrealistic price for 3-year-old used BEVs--&gt; 4% &lt;$20K, 23%&lt;$30K</t>
  </si>
  <si>
    <t>Reduced sample (BEV price&gt;= $30K + at least 3 price levels)</t>
  </si>
  <si>
    <t xml:space="preserve">Set price based on market values </t>
  </si>
  <si>
    <t>Endogeneity and Anchoring Bias</t>
  </si>
  <si>
    <t>Respondents may justify choices based on "I said my budget was X, so I should choose near X" --&gt; shall we consider removing the budget question?</t>
  </si>
  <si>
    <r>
      <t>Every respondent s</t>
    </r>
    <r>
      <rPr>
        <sz val="11"/>
        <color rgb="FF0070C0"/>
        <rFont val="Aptos Narrow (Body)"/>
      </rPr>
      <t>ees identical price variations.</t>
    </r>
  </si>
  <si>
    <t>Variation is independent of respondent characteristics.</t>
  </si>
  <si>
    <t>Issues (Narrow variation, different price sensitivity --&gt;	 small β_price --&gt; inflated WTP):</t>
  </si>
  <si>
    <t>assign different values for cars vs. SUVs?</t>
  </si>
  <si>
    <t>pick 6–8 levels that span below and above typical budgets (e.g.,  10-90 quantile  of a 3-year-old BEV from JP's dataset), Use absolute dollar amounts: $22-35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</si>
</sst>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"/>
    <numFmt numFmtId="165" formatCode="&quot;$&quot;#,##0.0_);[Red]\(&quot;$&quot;#,##0.0\)"/>
  </numFmts>
  <fonts count="28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F1F1F"/>
      <name val="Calibri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9"/>
      <color theme="1"/>
      <name val="Aptos Narrow"/>
      <scheme val="minor"/>
    </font>
    <font>
      <sz val="8"/>
      <color theme="1"/>
      <name val="Aptos Narrow"/>
      <scheme val="minor"/>
    </font>
    <font>
      <sz val="11"/>
      <color theme="1"/>
      <name val="Aptos Narrow"/>
      <scheme val="minor"/>
    </font>
    <font>
      <sz val="11"/>
      <color indexed="8"/>
      <name val="Aptos Narrow"/>
      <scheme val="minor"/>
    </font>
    <font>
      <sz val="11"/>
      <color rgb="FFFFFFFF"/>
      <name val="Lucida Grande"/>
      <family val="2"/>
    </font>
    <font>
      <sz val="11"/>
      <color indexed="8"/>
      <name val="Lucida Grande"/>
      <family val="2"/>
    </font>
    <font>
      <b/>
      <sz val="11"/>
      <color rgb="FFFFFFFF"/>
      <name val="Aptos Narrow"/>
      <scheme val="minor"/>
    </font>
    <font>
      <sz val="11"/>
      <color rgb="FFFFFFFF"/>
      <name val="Aptos Narrow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2"/>
      <color rgb="FFC00000"/>
      <name val="Calibri"/>
      <family val="2"/>
    </font>
    <font>
      <b/>
      <sz val="12"/>
      <color rgb="FFC00000"/>
      <name val="Calibri"/>
      <family val="2"/>
    </font>
    <font>
      <b/>
      <sz val="11"/>
      <color rgb="FFC00000"/>
      <name val="Aptos Narrow"/>
      <family val="2"/>
      <scheme val="minor"/>
    </font>
    <font>
      <sz val="18"/>
      <color rgb="FFC00000"/>
      <name val="Calibri"/>
      <family val="2"/>
    </font>
    <font>
      <sz val="18"/>
      <color theme="3" tint="0.249977111117893"/>
      <name val="Calibri"/>
      <family val="2"/>
    </font>
    <font>
      <b/>
      <sz val="12"/>
      <color theme="3" tint="0.249977111117893"/>
      <name val="Calibri"/>
      <family val="2"/>
    </font>
    <font>
      <sz val="11"/>
      <color theme="3" tint="0.249977111117893"/>
      <name val="Aptos Narrow"/>
      <family val="2"/>
      <scheme val="minor"/>
    </font>
    <font>
      <sz val="11"/>
      <color rgb="FF0070C0"/>
      <name val="Aptos Narrow (Body)"/>
    </font>
    <font>
      <b/>
      <sz val="11"/>
      <color theme="3" tint="0.249977111117893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164" fontId="0" fillId="0" borderId="0" xfId="0" applyNumberFormat="1"/>
    <xf numFmtId="2" fontId="2" fillId="0" borderId="0" xfId="0" applyNumberFormat="1" applyFont="1" applyAlignment="1">
      <alignment wrapText="1"/>
    </xf>
    <xf numFmtId="9" fontId="2" fillId="0" borderId="0" xfId="1" applyFont="1" applyAlignment="1">
      <alignment wrapText="1"/>
    </xf>
    <xf numFmtId="1" fontId="2" fillId="0" borderId="0" xfId="0" applyNumberFormat="1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2" fontId="6" fillId="0" borderId="0" xfId="0" applyNumberFormat="1" applyFont="1" applyAlignment="1">
      <alignment wrapText="1"/>
    </xf>
    <xf numFmtId="9" fontId="6" fillId="0" borderId="0" xfId="1" applyFont="1" applyAlignment="1">
      <alignment wrapText="1"/>
    </xf>
    <xf numFmtId="1" fontId="6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2" fontId="7" fillId="0" borderId="0" xfId="0" applyNumberFormat="1" applyFont="1" applyAlignment="1">
      <alignment wrapText="1"/>
    </xf>
    <xf numFmtId="1" fontId="2" fillId="0" borderId="0" xfId="1" applyNumberFormat="1" applyFont="1" applyAlignment="1">
      <alignment wrapText="1"/>
    </xf>
    <xf numFmtId="164" fontId="0" fillId="2" borderId="0" xfId="0" applyNumberFormat="1" applyFill="1"/>
    <xf numFmtId="0" fontId="8" fillId="0" borderId="0" xfId="0" applyFont="1" applyAlignment="1">
      <alignment wrapText="1"/>
    </xf>
    <xf numFmtId="2" fontId="8" fillId="0" borderId="0" xfId="0" applyNumberFormat="1" applyFont="1" applyAlignment="1">
      <alignment wrapText="1"/>
    </xf>
    <xf numFmtId="9" fontId="8" fillId="0" borderId="0" xfId="1" applyFont="1" applyAlignment="1">
      <alignment wrapText="1"/>
    </xf>
    <xf numFmtId="1" fontId="8" fillId="0" borderId="0" xfId="0" applyNumberFormat="1" applyFont="1" applyAlignment="1">
      <alignment wrapText="1"/>
    </xf>
    <xf numFmtId="0" fontId="9" fillId="3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2" fontId="10" fillId="0" borderId="0" xfId="0" applyNumberFormat="1" applyFont="1" applyAlignment="1">
      <alignment wrapText="1"/>
    </xf>
    <xf numFmtId="2" fontId="11" fillId="0" borderId="0" xfId="0" applyNumberFormat="1" applyFont="1" applyAlignment="1">
      <alignment wrapText="1"/>
    </xf>
    <xf numFmtId="2" fontId="10" fillId="3" borderId="0" xfId="0" applyNumberFormat="1" applyFont="1" applyFill="1" applyAlignment="1">
      <alignment wrapText="1"/>
    </xf>
    <xf numFmtId="9" fontId="10" fillId="0" borderId="0" xfId="1" applyFont="1" applyAlignment="1">
      <alignment wrapText="1"/>
    </xf>
    <xf numFmtId="8" fontId="10" fillId="0" borderId="0" xfId="0" applyNumberFormat="1" applyFont="1" applyAlignment="1">
      <alignment wrapText="1"/>
    </xf>
    <xf numFmtId="165" fontId="10" fillId="0" borderId="0" xfId="0" applyNumberFormat="1" applyFont="1" applyAlignment="1">
      <alignment wrapText="1"/>
    </xf>
    <xf numFmtId="2" fontId="2" fillId="3" borderId="0" xfId="0" applyNumberFormat="1" applyFont="1" applyFill="1" applyAlignment="1">
      <alignment wrapText="1"/>
    </xf>
    <xf numFmtId="164" fontId="5" fillId="0" borderId="0" xfId="0" applyNumberFormat="1" applyFont="1"/>
    <xf numFmtId="1" fontId="10" fillId="0" borderId="0" xfId="0" applyNumberFormat="1" applyFont="1" applyAlignment="1">
      <alignment wrapText="1"/>
    </xf>
    <xf numFmtId="0" fontId="10" fillId="4" borderId="0" xfId="0" applyFont="1" applyFill="1"/>
    <xf numFmtId="2" fontId="10" fillId="0" borderId="0" xfId="0" applyNumberFormat="1" applyFont="1"/>
    <xf numFmtId="2" fontId="6" fillId="2" borderId="0" xfId="0" applyNumberFormat="1" applyFont="1" applyFill="1" applyAlignment="1">
      <alignment horizontal="center" wrapText="1"/>
    </xf>
    <xf numFmtId="2" fontId="7" fillId="2" borderId="0" xfId="0" applyNumberFormat="1" applyFont="1" applyFill="1" applyAlignment="1">
      <alignment horizontal="center" wrapText="1"/>
    </xf>
    <xf numFmtId="0" fontId="10" fillId="0" borderId="0" xfId="0" applyFont="1" applyAlignment="1">
      <alignment horizontal="center" wrapText="1"/>
    </xf>
    <xf numFmtId="0" fontId="12" fillId="0" borderId="0" xfId="0" applyFont="1"/>
    <xf numFmtId="0" fontId="13" fillId="0" borderId="0" xfId="0" applyFont="1"/>
    <xf numFmtId="2" fontId="12" fillId="0" borderId="0" xfId="0" applyNumberFormat="1" applyFont="1"/>
    <xf numFmtId="2" fontId="13" fillId="0" borderId="0" xfId="0" applyNumberFormat="1" applyFont="1"/>
    <xf numFmtId="2" fontId="11" fillId="0" borderId="0" xfId="0" applyNumberFormat="1" applyFont="1"/>
    <xf numFmtId="2" fontId="14" fillId="0" borderId="0" xfId="0" applyNumberFormat="1" applyFont="1"/>
    <xf numFmtId="2" fontId="15" fillId="0" borderId="0" xfId="0" applyNumberFormat="1" applyFont="1"/>
    <xf numFmtId="0" fontId="11" fillId="0" borderId="0" xfId="0" applyFont="1"/>
    <xf numFmtId="1" fontId="11" fillId="0" borderId="0" xfId="0" applyNumberFormat="1" applyFont="1"/>
    <xf numFmtId="2" fontId="10" fillId="5" borderId="0" xfId="0" applyNumberFormat="1" applyFont="1" applyFill="1" applyAlignment="1">
      <alignment wrapText="1"/>
    </xf>
    <xf numFmtId="0" fontId="10" fillId="4" borderId="0" xfId="0" applyFont="1" applyFill="1" applyAlignment="1"/>
    <xf numFmtId="0" fontId="18" fillId="0" borderId="0" xfId="2" applyAlignment="1"/>
    <xf numFmtId="0" fontId="0" fillId="0" borderId="0" xfId="0" applyAlignment="1"/>
    <xf numFmtId="0" fontId="16" fillId="0" borderId="0" xfId="0" applyFont="1" applyAlignment="1"/>
    <xf numFmtId="0" fontId="17" fillId="0" borderId="0" xfId="0" applyFont="1" applyAlignment="1"/>
    <xf numFmtId="0" fontId="17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/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/>
    <xf numFmtId="0" fontId="25" fillId="0" borderId="0" xfId="0" applyFont="1"/>
    <xf numFmtId="2" fontId="10" fillId="5" borderId="0" xfId="0" applyNumberFormat="1" applyFont="1" applyFill="1"/>
    <xf numFmtId="0" fontId="27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27</xdr:row>
      <xdr:rowOff>0</xdr:rowOff>
    </xdr:from>
    <xdr:to>
      <xdr:col>9</xdr:col>
      <xdr:colOff>304800</xdr:colOff>
      <xdr:row>28</xdr:row>
      <xdr:rowOff>114300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009E5501-273C-3D4E-D18B-F3F684DC90D4}"/>
            </a:ext>
          </a:extLst>
        </xdr:cNvPr>
        <xdr:cNvSpPr>
          <a:spLocks noChangeAspect="1" noChangeArrowheads="1"/>
        </xdr:cNvSpPr>
      </xdr:nvSpPr>
      <xdr:spPr bwMode="auto">
        <a:xfrm>
          <a:off x="7226300" y="44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304800</xdr:colOff>
      <xdr:row>28</xdr:row>
      <xdr:rowOff>114300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3D488475-66D8-4F84-FCBD-595C665D031C}"/>
            </a:ext>
          </a:extLst>
        </xdr:cNvPr>
        <xdr:cNvSpPr>
          <a:spLocks noChangeAspect="1" noChangeArrowheads="1"/>
        </xdr:cNvSpPr>
      </xdr:nvSpPr>
      <xdr:spPr bwMode="auto">
        <a:xfrm>
          <a:off x="7226300" y="44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660400</xdr:colOff>
      <xdr:row>0</xdr:row>
      <xdr:rowOff>0</xdr:rowOff>
    </xdr:from>
    <xdr:to>
      <xdr:col>19</xdr:col>
      <xdr:colOff>177800</xdr:colOff>
      <xdr:row>27</xdr:row>
      <xdr:rowOff>70894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36ED5B-0A6E-4065-BCFC-622789C4D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9900" y="0"/>
          <a:ext cx="7772400" cy="5214394"/>
        </a:xfrm>
        <a:prstGeom prst="rect">
          <a:avLst/>
        </a:prstGeom>
      </xdr:spPr>
    </xdr:pic>
    <xdr:clientData/>
  </xdr:twoCellAnchor>
  <xdr:twoCellAnchor editAs="oneCell">
    <xdr:from>
      <xdr:col>0</xdr:col>
      <xdr:colOff>431800</xdr:colOff>
      <xdr:row>1</xdr:row>
      <xdr:rowOff>12700</xdr:rowOff>
    </xdr:from>
    <xdr:to>
      <xdr:col>9</xdr:col>
      <xdr:colOff>419100</xdr:colOff>
      <xdr:row>28</xdr:row>
      <xdr:rowOff>19756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3A30AD-D239-C06F-F027-889E0349E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203200"/>
          <a:ext cx="7416800" cy="51505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4000500</xdr:colOff>
      <xdr:row>25</xdr:row>
      <xdr:rowOff>4233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4A1327-2574-4CDC-8912-AFD4EE6DA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9933"/>
          <a:ext cx="4000500" cy="2730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5481623</xdr:colOff>
      <xdr:row>0</xdr:row>
      <xdr:rowOff>0</xdr:rowOff>
    </xdr:from>
    <xdr:to>
      <xdr:col>6</xdr:col>
      <xdr:colOff>521026</xdr:colOff>
      <xdr:row>18</xdr:row>
      <xdr:rowOff>105018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D1991F-68C8-8152-421A-AE4009D38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2050" y="0"/>
          <a:ext cx="4808634" cy="1863480"/>
        </a:xfrm>
        <a:prstGeom prst="rect">
          <a:avLst/>
        </a:prstGeom>
      </xdr:spPr>
    </xdr:pic>
    <xdr:clientData/>
  </xdr:twoCellAnchor>
  <xdr:twoCellAnchor editAs="oneCell">
    <xdr:from>
      <xdr:col>0</xdr:col>
      <xdr:colOff>75983</xdr:colOff>
      <xdr:row>9</xdr:row>
      <xdr:rowOff>54274</xdr:rowOff>
    </xdr:from>
    <xdr:to>
      <xdr:col>1</xdr:col>
      <xdr:colOff>5264856</xdr:colOff>
      <xdr:row>18</xdr:row>
      <xdr:rowOff>124612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E319C1-BA77-92A3-3D61-93AC0DF4D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83" y="54274"/>
          <a:ext cx="70993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ocs.google.com/document/d/1rwLltA02OP2pBjvABgdsFmHVDRcBrc71jzDeoayDKkM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8" sqref="A27:XFD28"/>
    </sheetView>
  </sheetViews>
  <sheetFormatPr baseColWidth="10" defaultColWidth="8.83203125" defaultRowHeight="15" x14ac:dyDescent="0.2"/>
  <cols>
    <col min="1" max="1" width="21.6640625" customWidth="1"/>
    <col min="2" max="3" width="8.83203125" style="1" customWidth="1"/>
    <col min="4" max="10" width="8.83203125" customWidth="1"/>
    <col min="11" max="11" width="8.83203125" style="7" customWidth="1"/>
    <col min="12" max="16" width="8.83203125" style="8"/>
    <col min="17" max="22" width="0" hidden="1" customWidth="1"/>
    <col min="23" max="23" width="18.33203125" hidden="1" customWidth="1"/>
    <col min="24" max="26" width="0" style="2" hidden="1" customWidth="1"/>
    <col min="27" max="27" width="0" hidden="1" customWidth="1"/>
    <col min="28" max="28" width="13.6640625" hidden="1" customWidth="1"/>
    <col min="29" max="29" width="0" style="1" hidden="1" customWidth="1"/>
    <col min="30" max="32" width="8.83203125" style="2"/>
  </cols>
  <sheetData>
    <row r="1" spans="1:33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s="2" t="s">
        <v>16</v>
      </c>
      <c r="Y1" s="2" t="s">
        <v>17</v>
      </c>
      <c r="Z1" s="2" t="s">
        <v>18</v>
      </c>
      <c r="AA1" t="s">
        <v>20</v>
      </c>
      <c r="AD1" s="32" t="s">
        <v>12</v>
      </c>
      <c r="AE1" s="32" t="s">
        <v>13</v>
      </c>
      <c r="AF1" s="32" t="s">
        <v>14</v>
      </c>
      <c r="AG1" s="8" t="s">
        <v>15</v>
      </c>
    </row>
    <row r="2" spans="1:33" x14ac:dyDescent="0.2">
      <c r="A2" t="s">
        <v>123</v>
      </c>
      <c r="B2" s="1">
        <v>-2.2999999999999998</v>
      </c>
      <c r="C2" s="1">
        <v>0.32</v>
      </c>
      <c r="D2">
        <v>0</v>
      </c>
      <c r="E2" t="s">
        <v>79</v>
      </c>
    </row>
    <row r="3" spans="1:33" x14ac:dyDescent="0.2">
      <c r="A3" t="s">
        <v>21</v>
      </c>
      <c r="B3" s="1">
        <v>-0.18</v>
      </c>
      <c r="C3" s="1">
        <v>0.03</v>
      </c>
      <c r="D3">
        <v>0</v>
      </c>
      <c r="E3" t="s">
        <v>79</v>
      </c>
    </row>
    <row r="4" spans="1:33" x14ac:dyDescent="0.2">
      <c r="A4" t="s">
        <v>23</v>
      </c>
      <c r="B4" s="1">
        <v>0.44</v>
      </c>
      <c r="C4" s="1">
        <v>0.06</v>
      </c>
      <c r="D4">
        <v>0</v>
      </c>
      <c r="E4" t="s">
        <v>79</v>
      </c>
    </row>
    <row r="5" spans="1:33" x14ac:dyDescent="0.2">
      <c r="A5" t="s">
        <v>24</v>
      </c>
      <c r="B5" s="1">
        <v>-0.25</v>
      </c>
      <c r="C5" s="1">
        <v>0.02</v>
      </c>
      <c r="D5">
        <v>0</v>
      </c>
      <c r="E5" t="s">
        <v>79</v>
      </c>
    </row>
    <row r="6" spans="1:33" x14ac:dyDescent="0.2">
      <c r="A6" t="s">
        <v>25</v>
      </c>
      <c r="B6" s="1">
        <v>-0.32</v>
      </c>
      <c r="C6" s="1">
        <v>0.08</v>
      </c>
      <c r="D6">
        <v>0</v>
      </c>
      <c r="E6" t="s">
        <v>79</v>
      </c>
    </row>
    <row r="7" spans="1:33" x14ac:dyDescent="0.2">
      <c r="A7" t="s">
        <v>26</v>
      </c>
      <c r="B7" s="1">
        <v>-0.39</v>
      </c>
      <c r="C7" s="1">
        <v>0.08</v>
      </c>
      <c r="D7">
        <v>0</v>
      </c>
      <c r="E7" t="s">
        <v>79</v>
      </c>
    </row>
    <row r="8" spans="1:33" x14ac:dyDescent="0.2">
      <c r="A8" t="s">
        <v>22</v>
      </c>
      <c r="B8" s="1">
        <v>-0.27</v>
      </c>
      <c r="C8" s="1">
        <v>0.06</v>
      </c>
      <c r="D8">
        <v>0</v>
      </c>
      <c r="E8" t="s">
        <v>79</v>
      </c>
      <c r="X8" s="2" t="s">
        <v>163</v>
      </c>
      <c r="Y8" s="2" t="s">
        <v>164</v>
      </c>
      <c r="Z8" s="2" t="s">
        <v>165</v>
      </c>
    </row>
    <row r="9" spans="1:33" x14ac:dyDescent="0.2">
      <c r="A9" t="s">
        <v>119</v>
      </c>
      <c r="G9">
        <v>-5.492</v>
      </c>
      <c r="H9">
        <v>0.503</v>
      </c>
      <c r="I9">
        <v>0</v>
      </c>
      <c r="J9" t="s">
        <v>79</v>
      </c>
      <c r="L9" s="8">
        <v>-1.45</v>
      </c>
      <c r="M9" s="8">
        <v>0.75</v>
      </c>
      <c r="N9" s="8">
        <v>5.2999999999999999E-2</v>
      </c>
      <c r="O9" s="8" t="s">
        <v>91</v>
      </c>
      <c r="Q9">
        <v>-0.76500000000000001</v>
      </c>
      <c r="R9">
        <v>1.0640000000000001</v>
      </c>
      <c r="S9">
        <v>0.47199999999999998</v>
      </c>
      <c r="T9" t="s">
        <v>93</v>
      </c>
      <c r="W9" t="s">
        <v>119</v>
      </c>
      <c r="X9" s="1">
        <v>-5.3253040802131899</v>
      </c>
      <c r="Y9" s="1">
        <v>1.58535194093513</v>
      </c>
      <c r="Z9" s="1">
        <v>7.8205980333034798E-4</v>
      </c>
      <c r="AD9" s="2">
        <v>-3.8448500000000001</v>
      </c>
      <c r="AE9" s="2">
        <v>1.8133300000000001</v>
      </c>
      <c r="AF9" s="2">
        <v>1.6989000000000001E-2</v>
      </c>
      <c r="AG9" t="s">
        <v>102</v>
      </c>
    </row>
    <row r="10" spans="1:33" x14ac:dyDescent="0.2">
      <c r="A10" t="s">
        <v>27</v>
      </c>
      <c r="G10">
        <v>-0.17499999999999999</v>
      </c>
      <c r="H10">
        <v>3.3000000000000002E-2</v>
      </c>
      <c r="I10">
        <v>0</v>
      </c>
      <c r="J10" t="s">
        <v>79</v>
      </c>
      <c r="L10" s="8">
        <v>-0.23799999999999999</v>
      </c>
      <c r="M10" s="8">
        <v>8.8999999999999996E-2</v>
      </c>
      <c r="N10" s="8">
        <v>8.0000000000000002E-3</v>
      </c>
      <c r="O10" s="8" t="s">
        <v>92</v>
      </c>
      <c r="Q10">
        <v>-0.34100000000000003</v>
      </c>
      <c r="R10">
        <v>0.11899999999999999</v>
      </c>
      <c r="S10">
        <v>4.0000000000000001E-3</v>
      </c>
      <c r="T10" t="s">
        <v>92</v>
      </c>
      <c r="W10" t="s">
        <v>27</v>
      </c>
      <c r="X10" s="1">
        <v>1.1449966998109001E-2</v>
      </c>
      <c r="Y10" s="1">
        <v>7.3295883690231795E-2</v>
      </c>
      <c r="Z10" s="1">
        <v>0.87586301023635005</v>
      </c>
      <c r="AD10" s="2">
        <v>-3.107E-2</v>
      </c>
      <c r="AE10" s="2">
        <v>7.8719999999999998E-2</v>
      </c>
      <c r="AF10" s="2">
        <v>0.34656399999999998</v>
      </c>
    </row>
    <row r="11" spans="1:33" x14ac:dyDescent="0.2">
      <c r="A11" t="s">
        <v>28</v>
      </c>
      <c r="G11">
        <v>0.44400000000000001</v>
      </c>
      <c r="H11">
        <v>7.4999999999999997E-2</v>
      </c>
      <c r="I11">
        <v>0</v>
      </c>
      <c r="J11" t="s">
        <v>79</v>
      </c>
      <c r="L11" s="8">
        <v>0.499</v>
      </c>
      <c r="M11" s="8">
        <v>0.183</v>
      </c>
      <c r="N11" s="8">
        <v>6.0000000000000001E-3</v>
      </c>
      <c r="O11" s="8" t="s">
        <v>92</v>
      </c>
      <c r="Q11">
        <v>0.64700000000000002</v>
      </c>
      <c r="R11">
        <v>0.27</v>
      </c>
      <c r="S11">
        <v>1.6E-2</v>
      </c>
      <c r="T11" t="s">
        <v>102</v>
      </c>
      <c r="W11" t="s">
        <v>28</v>
      </c>
      <c r="X11" s="1">
        <v>1.02221693089836</v>
      </c>
      <c r="Y11" s="1">
        <v>0.22219358545182</v>
      </c>
      <c r="Z11" s="1">
        <v>4.21338332512455E-6</v>
      </c>
      <c r="AD11" s="2">
        <v>1.2560199999999999</v>
      </c>
      <c r="AE11" s="2">
        <v>0.45895999999999998</v>
      </c>
      <c r="AF11" s="2">
        <v>3.104E-3</v>
      </c>
      <c r="AG11" t="s">
        <v>92</v>
      </c>
    </row>
    <row r="12" spans="1:33" x14ac:dyDescent="0.2">
      <c r="A12" t="s">
        <v>29</v>
      </c>
      <c r="G12">
        <v>-0.252</v>
      </c>
      <c r="H12">
        <v>2.1000000000000001E-2</v>
      </c>
      <c r="I12">
        <v>0</v>
      </c>
      <c r="J12" t="s">
        <v>79</v>
      </c>
      <c r="L12" s="8">
        <v>-0.29599999999999999</v>
      </c>
      <c r="M12" s="8">
        <v>5.7000000000000002E-2</v>
      </c>
      <c r="N12" s="8">
        <v>0</v>
      </c>
      <c r="O12" s="8" t="s">
        <v>79</v>
      </c>
      <c r="Q12">
        <v>-0.39300000000000002</v>
      </c>
      <c r="R12">
        <v>8.5999999999999993E-2</v>
      </c>
      <c r="S12">
        <v>0</v>
      </c>
      <c r="T12" t="s">
        <v>79</v>
      </c>
      <c r="W12" t="s">
        <v>29</v>
      </c>
      <c r="X12" s="1">
        <v>-0.54738948471263804</v>
      </c>
      <c r="Y12" s="1">
        <v>6.0902716173963797E-2</v>
      </c>
      <c r="Z12" s="1">
        <v>0</v>
      </c>
      <c r="AD12" s="2">
        <v>-0.49913000000000002</v>
      </c>
      <c r="AE12" s="2">
        <v>6.9980000000000001E-2</v>
      </c>
      <c r="AF12" s="2">
        <v>4.9179999999999998E-13</v>
      </c>
      <c r="AG12" t="s">
        <v>79</v>
      </c>
    </row>
    <row r="13" spans="1:33" x14ac:dyDescent="0.2">
      <c r="A13" t="s">
        <v>30</v>
      </c>
      <c r="G13">
        <v>-0.182</v>
      </c>
      <c r="H13">
        <v>9.4E-2</v>
      </c>
      <c r="I13">
        <v>5.2999999999999999E-2</v>
      </c>
      <c r="J13" t="s">
        <v>91</v>
      </c>
      <c r="L13" s="8">
        <v>-1.2030000000000001</v>
      </c>
      <c r="M13" s="8">
        <v>0.31</v>
      </c>
      <c r="N13" s="8">
        <v>0</v>
      </c>
      <c r="O13" s="8" t="s">
        <v>79</v>
      </c>
      <c r="Q13">
        <v>-0.253</v>
      </c>
      <c r="R13">
        <v>0.40899999999999997</v>
      </c>
      <c r="S13">
        <v>0.53500000000000003</v>
      </c>
      <c r="T13" t="s">
        <v>93</v>
      </c>
      <c r="W13" t="s">
        <v>30</v>
      </c>
      <c r="X13" s="1">
        <v>-0.112307846881433</v>
      </c>
      <c r="Y13" s="1">
        <v>0.173716105481905</v>
      </c>
      <c r="Z13" s="1">
        <v>0.51795416345752698</v>
      </c>
      <c r="AD13" s="2">
        <v>-0.15678</v>
      </c>
      <c r="AE13" s="2">
        <v>0.19853999999999999</v>
      </c>
      <c r="AF13" s="2">
        <v>0.21485899999999999</v>
      </c>
    </row>
    <row r="14" spans="1:33" x14ac:dyDescent="0.2">
      <c r="A14" t="s">
        <v>31</v>
      </c>
      <c r="G14">
        <v>-0.25800000000000001</v>
      </c>
      <c r="H14">
        <v>9.1999999999999998E-2</v>
      </c>
      <c r="I14">
        <v>5.0000000000000001E-3</v>
      </c>
      <c r="J14" t="s">
        <v>92</v>
      </c>
      <c r="L14" s="8">
        <v>-1.24</v>
      </c>
      <c r="M14" s="8">
        <v>0.26700000000000002</v>
      </c>
      <c r="N14" s="8">
        <v>0</v>
      </c>
      <c r="O14" s="8" t="s">
        <v>79</v>
      </c>
      <c r="Q14">
        <v>-0.48599999999999999</v>
      </c>
      <c r="R14">
        <v>0.29699999999999999</v>
      </c>
      <c r="S14">
        <v>0.10199999999999999</v>
      </c>
      <c r="T14" t="s">
        <v>93</v>
      </c>
      <c r="W14" t="s">
        <v>31</v>
      </c>
      <c r="X14" s="1">
        <v>-0.186556285990436</v>
      </c>
      <c r="Y14" s="1">
        <v>0.17226704854803501</v>
      </c>
      <c r="Z14" s="1">
        <v>0.278831426572481</v>
      </c>
      <c r="AD14" s="2">
        <v>-3.4259999999999999E-2</v>
      </c>
      <c r="AE14" s="2">
        <v>0.20018</v>
      </c>
      <c r="AF14" s="2">
        <v>0.43204700000000001</v>
      </c>
    </row>
    <row r="15" spans="1:33" x14ac:dyDescent="0.2">
      <c r="A15" t="s">
        <v>32</v>
      </c>
      <c r="G15">
        <v>-0.72499999999999998</v>
      </c>
      <c r="H15">
        <v>9.1999999999999998E-2</v>
      </c>
      <c r="I15">
        <v>0</v>
      </c>
      <c r="J15" t="s">
        <v>79</v>
      </c>
      <c r="L15" s="8">
        <v>-0.48099999999999998</v>
      </c>
      <c r="M15" s="8">
        <v>0.13700000000000001</v>
      </c>
      <c r="N15" s="8">
        <v>0</v>
      </c>
      <c r="O15" s="8" t="s">
        <v>79</v>
      </c>
      <c r="Q15">
        <v>-0.441</v>
      </c>
      <c r="R15">
        <v>0.183</v>
      </c>
      <c r="S15">
        <v>1.6E-2</v>
      </c>
      <c r="T15" t="s">
        <v>102</v>
      </c>
      <c r="W15" t="s">
        <v>167</v>
      </c>
      <c r="X15" s="1">
        <v>-3.1661548503363299</v>
      </c>
      <c r="Y15" s="1">
        <v>0.89720923248645501</v>
      </c>
      <c r="Z15" s="1">
        <v>4.1730275122375799E-4</v>
      </c>
      <c r="AD15" s="2">
        <v>-0.89258999999999999</v>
      </c>
      <c r="AE15" s="2">
        <v>0.23326</v>
      </c>
      <c r="AF15" s="2">
        <v>6.4950000000000007E-5</v>
      </c>
      <c r="AG15" t="s">
        <v>79</v>
      </c>
    </row>
    <row r="16" spans="1:33" x14ac:dyDescent="0.2">
      <c r="A16" t="s">
        <v>120</v>
      </c>
      <c r="G16">
        <v>-1.248</v>
      </c>
      <c r="H16">
        <v>0.83899999999999997</v>
      </c>
      <c r="I16">
        <v>0.13700000000000001</v>
      </c>
      <c r="J16" t="s">
        <v>93</v>
      </c>
      <c r="L16" s="8">
        <v>-8.0259999999999998</v>
      </c>
      <c r="M16" s="8">
        <v>1.1160000000000001</v>
      </c>
      <c r="N16" s="8">
        <v>0</v>
      </c>
      <c r="O16" s="8" t="s">
        <v>79</v>
      </c>
      <c r="Q16">
        <v>-8.0410000000000004</v>
      </c>
      <c r="R16">
        <v>1.3839999999999999</v>
      </c>
      <c r="S16">
        <v>0</v>
      </c>
      <c r="T16" t="s">
        <v>79</v>
      </c>
      <c r="W16" t="s">
        <v>120</v>
      </c>
      <c r="X16" s="1">
        <v>-9.3963933644036004</v>
      </c>
      <c r="Y16" s="1">
        <v>1.3739277362028299</v>
      </c>
      <c r="Z16" s="1">
        <v>7.9707351829938505E-12</v>
      </c>
      <c r="AD16" s="2">
        <v>-7.96129</v>
      </c>
      <c r="AE16" s="2">
        <v>1.4593</v>
      </c>
      <c r="AF16" s="2">
        <v>2.4410000000000002E-8</v>
      </c>
      <c r="AG16" t="s">
        <v>79</v>
      </c>
    </row>
    <row r="17" spans="1:33" x14ac:dyDescent="0.2">
      <c r="A17" t="s">
        <v>33</v>
      </c>
      <c r="G17">
        <v>-0.23499999999999999</v>
      </c>
      <c r="H17">
        <v>8.5999999999999993E-2</v>
      </c>
      <c r="I17">
        <v>6.0000000000000001E-3</v>
      </c>
      <c r="J17" t="s">
        <v>92</v>
      </c>
      <c r="L17" s="8">
        <v>-0.34499999999999997</v>
      </c>
      <c r="M17" s="8">
        <v>7.0999999999999994E-2</v>
      </c>
      <c r="N17" s="8">
        <v>0</v>
      </c>
      <c r="O17" s="8" t="s">
        <v>79</v>
      </c>
      <c r="Q17">
        <v>-0.34399999999999997</v>
      </c>
      <c r="R17">
        <v>7.3999999999999996E-2</v>
      </c>
      <c r="S17">
        <v>0</v>
      </c>
      <c r="T17" t="s">
        <v>79</v>
      </c>
      <c r="W17" t="s">
        <v>33</v>
      </c>
      <c r="X17" s="1">
        <v>-0.35582808019360301</v>
      </c>
      <c r="Y17" s="1">
        <v>6.9261267102972798E-2</v>
      </c>
      <c r="Z17" s="1">
        <v>2.78453385460509E-7</v>
      </c>
      <c r="AD17" s="2">
        <v>-0.38529000000000002</v>
      </c>
      <c r="AE17" s="2">
        <v>9.851E-2</v>
      </c>
      <c r="AF17" s="2">
        <v>4.5930000000000002E-5</v>
      </c>
      <c r="AG17" t="s">
        <v>79</v>
      </c>
    </row>
    <row r="18" spans="1:33" x14ac:dyDescent="0.2">
      <c r="A18" t="s">
        <v>34</v>
      </c>
      <c r="G18">
        <v>0.58799999999999997</v>
      </c>
      <c r="H18">
        <v>0.19600000000000001</v>
      </c>
      <c r="I18">
        <v>3.0000000000000001E-3</v>
      </c>
      <c r="J18" t="s">
        <v>92</v>
      </c>
      <c r="L18" s="8">
        <v>0.02</v>
      </c>
      <c r="M18" s="8">
        <v>0.13100000000000001</v>
      </c>
      <c r="N18" s="8">
        <v>0.88200000000000001</v>
      </c>
      <c r="O18" s="8" t="s">
        <v>93</v>
      </c>
      <c r="Q18">
        <v>0.02</v>
      </c>
      <c r="R18">
        <v>0.14799999999999999</v>
      </c>
      <c r="S18">
        <v>0.89100000000000001</v>
      </c>
      <c r="T18" t="s">
        <v>93</v>
      </c>
      <c r="W18" t="s">
        <v>34</v>
      </c>
      <c r="X18" s="1">
        <v>3.0078203693580399E-2</v>
      </c>
      <c r="Y18" s="1">
        <v>0.132577611492918</v>
      </c>
      <c r="Z18" s="1">
        <v>0.82052294774046597</v>
      </c>
      <c r="AD18" s="2">
        <v>-2.2179999999999998E-2</v>
      </c>
      <c r="AE18" s="2">
        <v>0.15311</v>
      </c>
      <c r="AF18" s="2">
        <v>0.44242199999999998</v>
      </c>
    </row>
    <row r="19" spans="1:33" x14ac:dyDescent="0.2">
      <c r="A19" t="s">
        <v>35</v>
      </c>
      <c r="G19">
        <v>-0.32300000000000001</v>
      </c>
      <c r="H19">
        <v>5.7000000000000002E-2</v>
      </c>
      <c r="I19">
        <v>0</v>
      </c>
      <c r="J19" t="s">
        <v>79</v>
      </c>
      <c r="L19" s="8">
        <v>-5.1999999999999998E-2</v>
      </c>
      <c r="M19" s="8">
        <v>2.5999999999999999E-2</v>
      </c>
      <c r="N19" s="8">
        <v>4.2000000000000003E-2</v>
      </c>
      <c r="O19" s="8" t="s">
        <v>102</v>
      </c>
      <c r="Q19">
        <v>-5.3999999999999999E-2</v>
      </c>
      <c r="R19">
        <v>2.8000000000000001E-2</v>
      </c>
      <c r="S19">
        <v>4.9000000000000002E-2</v>
      </c>
      <c r="T19" t="s">
        <v>102</v>
      </c>
      <c r="W19" t="s">
        <v>35</v>
      </c>
      <c r="X19" s="1">
        <v>-5.4301846662674201E-2</v>
      </c>
      <c r="Y19" s="1">
        <v>2.8138203163417402E-2</v>
      </c>
      <c r="Z19" s="1">
        <v>5.3628354105723398E-2</v>
      </c>
      <c r="AD19" s="2">
        <v>-7.5870000000000007E-2</v>
      </c>
      <c r="AE19" s="2">
        <v>4.8149999999999998E-2</v>
      </c>
      <c r="AF19" s="2">
        <v>5.7537999999999999E-2</v>
      </c>
      <c r="AG19" t="s">
        <v>91</v>
      </c>
    </row>
    <row r="20" spans="1:33" x14ac:dyDescent="0.2">
      <c r="A20" t="s">
        <v>36</v>
      </c>
      <c r="G20">
        <v>-1.1180000000000001</v>
      </c>
      <c r="H20">
        <v>0.32100000000000001</v>
      </c>
      <c r="I20">
        <v>0</v>
      </c>
      <c r="J20" t="s">
        <v>79</v>
      </c>
      <c r="L20" s="8">
        <v>-0.251</v>
      </c>
      <c r="M20" s="8">
        <v>0.16400000000000001</v>
      </c>
      <c r="N20" s="8">
        <v>0.125</v>
      </c>
      <c r="O20" s="8" t="s">
        <v>93</v>
      </c>
      <c r="Q20">
        <v>-0.152</v>
      </c>
      <c r="R20">
        <v>0.192</v>
      </c>
      <c r="S20">
        <v>0.43099999999999999</v>
      </c>
      <c r="T20" t="s">
        <v>93</v>
      </c>
      <c r="W20" t="s">
        <v>36</v>
      </c>
      <c r="X20" s="1">
        <v>-0.248426183887653</v>
      </c>
      <c r="Y20" s="1">
        <v>0.16485335019410299</v>
      </c>
      <c r="Z20" s="1">
        <v>0.131822808612897</v>
      </c>
      <c r="AD20" s="2">
        <v>-0.25734000000000001</v>
      </c>
      <c r="AE20" s="2">
        <v>0.26011000000000001</v>
      </c>
      <c r="AF20" s="2">
        <v>0.161245</v>
      </c>
    </row>
    <row r="21" spans="1:33" x14ac:dyDescent="0.2">
      <c r="A21" t="s">
        <v>37</v>
      </c>
      <c r="G21">
        <v>-1.202</v>
      </c>
      <c r="H21">
        <v>0.27800000000000002</v>
      </c>
      <c r="I21">
        <v>0</v>
      </c>
      <c r="J21" t="s">
        <v>79</v>
      </c>
      <c r="L21" s="8">
        <v>-0.38800000000000001</v>
      </c>
      <c r="M21" s="8">
        <v>0.17299999999999999</v>
      </c>
      <c r="N21" s="8">
        <v>2.5000000000000001E-2</v>
      </c>
      <c r="O21" s="8" t="s">
        <v>102</v>
      </c>
      <c r="Q21">
        <v>-0.28799999999999998</v>
      </c>
      <c r="R21">
        <v>0.19600000000000001</v>
      </c>
      <c r="S21">
        <v>0.14099999999999999</v>
      </c>
      <c r="T21" t="s">
        <v>93</v>
      </c>
      <c r="W21" t="s">
        <v>37</v>
      </c>
      <c r="X21" s="1">
        <v>-0.39272981106986099</v>
      </c>
      <c r="Y21" s="1">
        <v>0.17377087384626699</v>
      </c>
      <c r="Z21" s="1">
        <v>2.3818523641627998E-2</v>
      </c>
      <c r="AD21" s="2">
        <v>-0.38590000000000002</v>
      </c>
      <c r="AE21" s="2">
        <v>0.2495</v>
      </c>
      <c r="AF21" s="2">
        <v>6.0964999999999998E-2</v>
      </c>
      <c r="AG21" t="s">
        <v>91</v>
      </c>
    </row>
    <row r="22" spans="1:33" x14ac:dyDescent="0.2">
      <c r="A22" t="s">
        <v>38</v>
      </c>
      <c r="G22">
        <v>-0.47599999999999998</v>
      </c>
      <c r="H22">
        <v>0.13600000000000001</v>
      </c>
      <c r="I22">
        <v>0</v>
      </c>
      <c r="J22" t="s">
        <v>79</v>
      </c>
      <c r="L22" s="8">
        <v>-0.67100000000000004</v>
      </c>
      <c r="M22" s="8">
        <v>0.20200000000000001</v>
      </c>
      <c r="N22" s="8">
        <v>1E-3</v>
      </c>
      <c r="O22" s="8" t="s">
        <v>79</v>
      </c>
      <c r="Q22">
        <v>-0.66400000000000003</v>
      </c>
      <c r="R22">
        <v>0.20399999999999999</v>
      </c>
      <c r="S22">
        <v>1E-3</v>
      </c>
      <c r="T22" t="s">
        <v>92</v>
      </c>
      <c r="W22" t="s">
        <v>168</v>
      </c>
      <c r="X22" s="1">
        <v>-3.0942003202427699</v>
      </c>
      <c r="Y22" s="1">
        <v>0.75388751717233704</v>
      </c>
      <c r="Z22" s="1">
        <v>4.0549490504915298E-5</v>
      </c>
      <c r="AD22" s="2">
        <v>-0.66744999999999999</v>
      </c>
      <c r="AE22" s="2">
        <v>0.28028999999999998</v>
      </c>
      <c r="AF22" s="2">
        <v>8.6269999999999993E-3</v>
      </c>
      <c r="AG22" t="s">
        <v>92</v>
      </c>
    </row>
    <row r="23" spans="1:33" x14ac:dyDescent="0.2">
      <c r="A23" t="s">
        <v>121</v>
      </c>
      <c r="L23" s="8">
        <v>-4.4470000000000001</v>
      </c>
      <c r="M23" s="8">
        <v>1.145</v>
      </c>
      <c r="N23" s="8">
        <v>0</v>
      </c>
      <c r="O23" s="8" t="s">
        <v>79</v>
      </c>
      <c r="Q23">
        <v>-3.077</v>
      </c>
      <c r="R23">
        <v>1.8009999999999999</v>
      </c>
      <c r="S23">
        <v>8.7999999999999995E-2</v>
      </c>
      <c r="T23" t="s">
        <v>91</v>
      </c>
      <c r="W23" t="s">
        <v>121</v>
      </c>
      <c r="X23" s="1">
        <v>-0.859666187687945</v>
      </c>
      <c r="Y23" s="1">
        <v>0.65946787706154497</v>
      </c>
      <c r="Z23" s="1">
        <v>0.19237834821258801</v>
      </c>
      <c r="AD23" s="2">
        <v>-1.3184</v>
      </c>
      <c r="AE23" s="2">
        <v>1.1063000000000001</v>
      </c>
      <c r="AF23" s="2">
        <v>0.116685</v>
      </c>
    </row>
    <row r="24" spans="1:33" x14ac:dyDescent="0.2">
      <c r="A24" t="s">
        <v>47</v>
      </c>
      <c r="L24" s="8">
        <v>-1.7000000000000001E-2</v>
      </c>
      <c r="M24" s="8">
        <v>6.9000000000000006E-2</v>
      </c>
      <c r="N24" s="8">
        <v>0.80200000000000005</v>
      </c>
      <c r="O24" s="8" t="s">
        <v>93</v>
      </c>
      <c r="Q24">
        <v>-0.08</v>
      </c>
      <c r="R24">
        <v>0.24</v>
      </c>
      <c r="S24">
        <v>0.74</v>
      </c>
      <c r="T24" t="s">
        <v>93</v>
      </c>
      <c r="W24" t="s">
        <v>47</v>
      </c>
      <c r="X24" s="1">
        <v>-0.24182217985044099</v>
      </c>
      <c r="Y24" s="1">
        <v>8.1882293850407795E-2</v>
      </c>
      <c r="Z24" s="1">
        <v>3.1440619398475098E-3</v>
      </c>
      <c r="AD24" s="2">
        <v>-0.21736</v>
      </c>
      <c r="AE24" s="2">
        <v>9.1069999999999998E-2</v>
      </c>
      <c r="AF24" s="2">
        <v>8.4960000000000001E-3</v>
      </c>
      <c r="AG24" t="s">
        <v>92</v>
      </c>
    </row>
    <row r="25" spans="1:33" x14ac:dyDescent="0.2">
      <c r="A25" t="s">
        <v>48</v>
      </c>
      <c r="L25" s="8">
        <v>0.997</v>
      </c>
      <c r="M25" s="8">
        <v>0.19600000000000001</v>
      </c>
      <c r="N25" s="8">
        <v>0</v>
      </c>
      <c r="O25" s="8" t="s">
        <v>79</v>
      </c>
      <c r="Q25">
        <v>0.58499999999999996</v>
      </c>
      <c r="R25">
        <v>0.38100000000000001</v>
      </c>
      <c r="S25">
        <v>0.125</v>
      </c>
      <c r="T25" t="s">
        <v>93</v>
      </c>
      <c r="W25" t="s">
        <v>48</v>
      </c>
      <c r="X25" s="1">
        <v>0.52898361896204305</v>
      </c>
      <c r="Y25" s="1">
        <v>0.177519690371435</v>
      </c>
      <c r="Z25" s="1">
        <v>2.8838123999568302E-3</v>
      </c>
      <c r="AD25" s="2">
        <v>0.55942000000000003</v>
      </c>
      <c r="AE25" s="2">
        <v>0.21071999999999999</v>
      </c>
      <c r="AF25" s="2">
        <v>3.967E-3</v>
      </c>
      <c r="AG25" t="s">
        <v>92</v>
      </c>
    </row>
    <row r="26" spans="1:33" x14ac:dyDescent="0.2">
      <c r="A26" t="s">
        <v>49</v>
      </c>
      <c r="L26" s="8">
        <v>-0.53700000000000003</v>
      </c>
      <c r="M26" s="8">
        <v>5.2999999999999999E-2</v>
      </c>
      <c r="N26" s="8">
        <v>0</v>
      </c>
      <c r="O26" s="8" t="s">
        <v>79</v>
      </c>
      <c r="Q26">
        <v>-0.218</v>
      </c>
      <c r="R26">
        <v>0.122</v>
      </c>
      <c r="S26">
        <v>7.3999999999999996E-2</v>
      </c>
      <c r="T26" t="s">
        <v>91</v>
      </c>
      <c r="W26" t="s">
        <v>49</v>
      </c>
      <c r="X26" s="1">
        <v>-0.30862853839429899</v>
      </c>
      <c r="Y26" s="1">
        <v>5.23195997380623E-2</v>
      </c>
      <c r="Z26" s="1">
        <v>3.6591378815842299E-9</v>
      </c>
      <c r="AD26" s="2">
        <v>-0.26166</v>
      </c>
      <c r="AE26" s="2">
        <v>6.3729999999999995E-2</v>
      </c>
      <c r="AF26" s="2">
        <v>2.0169999999999998E-5</v>
      </c>
      <c r="AG26" t="s">
        <v>79</v>
      </c>
    </row>
    <row r="27" spans="1:33" x14ac:dyDescent="0.2">
      <c r="A27" t="s">
        <v>50</v>
      </c>
      <c r="L27" s="8">
        <v>-0.10199999999999999</v>
      </c>
      <c r="M27" s="8">
        <v>0.17299999999999999</v>
      </c>
      <c r="N27" s="8">
        <v>0.55500000000000005</v>
      </c>
      <c r="O27" s="8" t="s">
        <v>93</v>
      </c>
      <c r="Q27">
        <v>-3.4039999999999999</v>
      </c>
      <c r="R27">
        <v>0.70199999999999996</v>
      </c>
      <c r="S27">
        <v>0</v>
      </c>
      <c r="T27" t="s">
        <v>79</v>
      </c>
      <c r="W27" t="s">
        <v>50</v>
      </c>
      <c r="X27" s="1">
        <v>-1.1056063588774501</v>
      </c>
      <c r="Y27" s="1">
        <v>0.28383502437596098</v>
      </c>
      <c r="Z27" s="1">
        <v>9.8100376911602893E-5</v>
      </c>
      <c r="AD27" s="2">
        <v>-0.88768999999999998</v>
      </c>
      <c r="AE27" s="2">
        <v>0.34908</v>
      </c>
      <c r="AF27" s="2">
        <v>5.496E-3</v>
      </c>
      <c r="AG27" t="s">
        <v>92</v>
      </c>
    </row>
    <row r="28" spans="1:33" x14ac:dyDescent="0.2">
      <c r="A28" t="s">
        <v>51</v>
      </c>
      <c r="L28" s="8">
        <v>-0.17299999999999999</v>
      </c>
      <c r="M28" s="8">
        <v>0.16500000000000001</v>
      </c>
      <c r="N28" s="8">
        <v>0.29299999999999998</v>
      </c>
      <c r="O28" s="8" t="s">
        <v>93</v>
      </c>
      <c r="Q28">
        <v>-3.1709999999999998</v>
      </c>
      <c r="R28">
        <v>0.872</v>
      </c>
      <c r="S28">
        <v>0</v>
      </c>
      <c r="T28" t="s">
        <v>79</v>
      </c>
      <c r="W28" t="s">
        <v>51</v>
      </c>
      <c r="X28" s="1">
        <v>-1.13221191281707</v>
      </c>
      <c r="Y28" s="1">
        <v>0.29476897665822199</v>
      </c>
      <c r="Z28" s="1">
        <v>1.22526876979112E-4</v>
      </c>
      <c r="AD28" s="2">
        <v>-1.1224400000000001</v>
      </c>
      <c r="AE28" s="2">
        <v>0.35481000000000001</v>
      </c>
      <c r="AF28" s="2">
        <v>7.7932999999999995E-4</v>
      </c>
      <c r="AG28" t="s">
        <v>92</v>
      </c>
    </row>
    <row r="29" spans="1:33" x14ac:dyDescent="0.2">
      <c r="A29" t="s">
        <v>52</v>
      </c>
      <c r="L29" s="8">
        <v>-0.84899999999999998</v>
      </c>
      <c r="M29" s="8">
        <v>0.20100000000000001</v>
      </c>
      <c r="N29" s="8">
        <v>0</v>
      </c>
      <c r="O29" s="8" t="s">
        <v>79</v>
      </c>
      <c r="Q29">
        <v>-0.60799999999999998</v>
      </c>
      <c r="R29">
        <v>0.56000000000000005</v>
      </c>
      <c r="S29">
        <v>0.27700000000000002</v>
      </c>
      <c r="T29" t="s">
        <v>93</v>
      </c>
      <c r="W29" t="s">
        <v>169</v>
      </c>
      <c r="X29" s="1">
        <v>-0.850212582576645</v>
      </c>
      <c r="Y29" s="1">
        <v>0.2761273743714</v>
      </c>
      <c r="Z29" s="1">
        <v>2.0765528710204898E-3</v>
      </c>
      <c r="AD29" s="2">
        <v>-0.54334000000000005</v>
      </c>
      <c r="AE29" s="2">
        <v>0.21321000000000001</v>
      </c>
      <c r="AF29" s="2">
        <v>5.411E-3</v>
      </c>
      <c r="AG29" t="s">
        <v>92</v>
      </c>
    </row>
    <row r="30" spans="1:33" x14ac:dyDescent="0.2">
      <c r="A30" t="s">
        <v>122</v>
      </c>
      <c r="Q30">
        <v>-4.5999999999999996</v>
      </c>
      <c r="R30">
        <v>1.1950000000000001</v>
      </c>
      <c r="S30">
        <v>0</v>
      </c>
      <c r="T30" t="s">
        <v>79</v>
      </c>
      <c r="X30" s="1"/>
      <c r="Y30" s="1"/>
      <c r="Z30" s="1"/>
    </row>
    <row r="31" spans="1:33" x14ac:dyDescent="0.2">
      <c r="A31" t="s">
        <v>57</v>
      </c>
      <c r="Q31">
        <v>-0.03</v>
      </c>
      <c r="R31">
        <v>6.8000000000000005E-2</v>
      </c>
      <c r="S31">
        <v>0.65700000000000003</v>
      </c>
      <c r="T31" t="s">
        <v>93</v>
      </c>
      <c r="X31" s="1"/>
      <c r="Y31" s="1"/>
      <c r="Z31" s="1"/>
    </row>
    <row r="32" spans="1:33" x14ac:dyDescent="0.2">
      <c r="A32" t="s">
        <v>58</v>
      </c>
      <c r="Q32">
        <v>1.0049999999999999</v>
      </c>
      <c r="R32">
        <v>0.21099999999999999</v>
      </c>
      <c r="S32">
        <v>0</v>
      </c>
      <c r="T32" t="s">
        <v>79</v>
      </c>
      <c r="X32" s="1"/>
      <c r="Y32" s="1"/>
      <c r="Z32" s="1"/>
    </row>
    <row r="33" spans="1:32" x14ac:dyDescent="0.2">
      <c r="A33" t="s">
        <v>59</v>
      </c>
      <c r="Q33">
        <v>-0.55000000000000004</v>
      </c>
      <c r="R33">
        <v>5.3999999999999999E-2</v>
      </c>
      <c r="S33">
        <v>0</v>
      </c>
      <c r="T33" t="s">
        <v>79</v>
      </c>
      <c r="X33" s="1"/>
      <c r="Y33" s="1"/>
      <c r="Z33" s="1"/>
    </row>
    <row r="34" spans="1:32" x14ac:dyDescent="0.2">
      <c r="A34" t="s">
        <v>60</v>
      </c>
      <c r="Q34">
        <v>-5.3999999999999999E-2</v>
      </c>
      <c r="R34">
        <v>0.16700000000000001</v>
      </c>
      <c r="S34">
        <v>0.748</v>
      </c>
      <c r="T34" t="s">
        <v>93</v>
      </c>
      <c r="X34" s="1"/>
      <c r="Y34" s="1"/>
      <c r="Z34" s="1"/>
    </row>
    <row r="35" spans="1:32" x14ac:dyDescent="0.2">
      <c r="A35" t="s">
        <v>61</v>
      </c>
      <c r="Q35">
        <v>-0.11600000000000001</v>
      </c>
      <c r="R35">
        <v>0.161</v>
      </c>
      <c r="S35">
        <v>0.47</v>
      </c>
      <c r="T35" t="s">
        <v>93</v>
      </c>
      <c r="X35" s="1"/>
      <c r="Y35" s="1"/>
      <c r="Z35" s="1"/>
    </row>
    <row r="36" spans="1:32" x14ac:dyDescent="0.2">
      <c r="A36" t="s">
        <v>62</v>
      </c>
      <c r="Q36">
        <v>-0.86299999999999999</v>
      </c>
      <c r="R36">
        <v>0.20100000000000001</v>
      </c>
      <c r="S36">
        <v>0</v>
      </c>
      <c r="T36" t="s">
        <v>79</v>
      </c>
      <c r="X36" s="1"/>
      <c r="Y36" s="1"/>
      <c r="Z36" s="1"/>
    </row>
    <row r="37" spans="1:32" x14ac:dyDescent="0.2">
      <c r="A37" t="s">
        <v>39</v>
      </c>
      <c r="G37">
        <v>0</v>
      </c>
      <c r="J37" t="s">
        <v>93</v>
      </c>
      <c r="L37" s="8">
        <v>0</v>
      </c>
      <c r="O37" s="8" t="s">
        <v>93</v>
      </c>
      <c r="Q37">
        <v>0</v>
      </c>
      <c r="T37" t="s">
        <v>93</v>
      </c>
      <c r="W37" t="s">
        <v>39</v>
      </c>
      <c r="X37" s="1"/>
      <c r="Y37" s="1"/>
      <c r="Z37" s="1"/>
      <c r="AD37" s="2">
        <v>0</v>
      </c>
      <c r="AE37" s="2" t="s">
        <v>166</v>
      </c>
      <c r="AF37" s="2" t="s">
        <v>166</v>
      </c>
    </row>
    <row r="38" spans="1:32" x14ac:dyDescent="0.2">
      <c r="A38" t="s">
        <v>40</v>
      </c>
      <c r="G38">
        <v>0</v>
      </c>
      <c r="J38" t="s">
        <v>93</v>
      </c>
      <c r="L38" s="8">
        <v>0</v>
      </c>
      <c r="O38" s="8" t="s">
        <v>93</v>
      </c>
      <c r="Q38">
        <v>0</v>
      </c>
      <c r="T38" t="s">
        <v>93</v>
      </c>
      <c r="W38" t="s">
        <v>40</v>
      </c>
      <c r="X38" s="1">
        <v>0</v>
      </c>
      <c r="Y38" s="1" t="s">
        <v>166</v>
      </c>
      <c r="Z38" s="1" t="s">
        <v>166</v>
      </c>
      <c r="AD38" s="2">
        <v>0</v>
      </c>
      <c r="AE38" s="2" t="s">
        <v>166</v>
      </c>
      <c r="AF38" s="2" t="s">
        <v>166</v>
      </c>
    </row>
    <row r="39" spans="1:32" x14ac:dyDescent="0.2">
      <c r="A39" t="s">
        <v>41</v>
      </c>
      <c r="G39">
        <v>0</v>
      </c>
      <c r="J39" t="s">
        <v>93</v>
      </c>
      <c r="L39" s="8">
        <v>0</v>
      </c>
      <c r="O39" s="8" t="s">
        <v>93</v>
      </c>
      <c r="Q39">
        <v>0</v>
      </c>
      <c r="T39" t="s">
        <v>93</v>
      </c>
      <c r="W39" t="s">
        <v>41</v>
      </c>
      <c r="X39" s="1">
        <v>0</v>
      </c>
      <c r="Y39" s="1" t="s">
        <v>166</v>
      </c>
      <c r="Z39" s="1" t="s">
        <v>166</v>
      </c>
      <c r="AD39" s="2">
        <v>0</v>
      </c>
      <c r="AE39" s="2" t="s">
        <v>166</v>
      </c>
      <c r="AF39" s="2" t="s">
        <v>166</v>
      </c>
    </row>
    <row r="40" spans="1:32" x14ac:dyDescent="0.2">
      <c r="A40" t="s">
        <v>42</v>
      </c>
      <c r="G40">
        <v>0</v>
      </c>
      <c r="J40" t="s">
        <v>93</v>
      </c>
      <c r="L40" s="8">
        <v>0</v>
      </c>
      <c r="O40" s="8" t="s">
        <v>93</v>
      </c>
      <c r="Q40">
        <v>0</v>
      </c>
      <c r="T40" t="s">
        <v>93</v>
      </c>
      <c r="W40" t="s">
        <v>42</v>
      </c>
      <c r="X40" s="1">
        <v>0</v>
      </c>
      <c r="Y40" s="1" t="s">
        <v>166</v>
      </c>
      <c r="Z40" s="1" t="s">
        <v>166</v>
      </c>
      <c r="AD40" s="2">
        <v>0</v>
      </c>
      <c r="AE40" s="2" t="s">
        <v>166</v>
      </c>
      <c r="AF40" s="2" t="s">
        <v>166</v>
      </c>
    </row>
    <row r="41" spans="1:32" x14ac:dyDescent="0.2">
      <c r="A41" t="s">
        <v>43</v>
      </c>
      <c r="G41">
        <v>-6.3E-2</v>
      </c>
      <c r="H41">
        <v>0.38700000000000001</v>
      </c>
      <c r="I41">
        <v>0.871</v>
      </c>
      <c r="J41" t="s">
        <v>93</v>
      </c>
      <c r="L41" s="8">
        <v>-0.67800000000000005</v>
      </c>
      <c r="M41" s="8">
        <v>0.46899999999999997</v>
      </c>
      <c r="N41" s="8">
        <v>0.14799999999999999</v>
      </c>
      <c r="O41" s="8" t="s">
        <v>93</v>
      </c>
      <c r="Q41">
        <v>-0.83199999999999996</v>
      </c>
      <c r="R41">
        <v>0.50600000000000001</v>
      </c>
      <c r="S41">
        <v>0.10100000000000001</v>
      </c>
      <c r="T41" t="s">
        <v>93</v>
      </c>
      <c r="W41" t="s">
        <v>43</v>
      </c>
      <c r="X41" s="1">
        <v>0</v>
      </c>
      <c r="Y41" s="1" t="s">
        <v>166</v>
      </c>
      <c r="Z41" s="1" t="s">
        <v>166</v>
      </c>
      <c r="AD41" s="2">
        <v>-0.71603000000000006</v>
      </c>
      <c r="AE41" s="2">
        <v>0.70047999999999999</v>
      </c>
      <c r="AF41" s="2">
        <v>0.15334400000000001</v>
      </c>
    </row>
    <row r="42" spans="1:32" x14ac:dyDescent="0.2">
      <c r="A42" t="s">
        <v>44</v>
      </c>
      <c r="G42">
        <v>-0.52800000000000002</v>
      </c>
      <c r="H42">
        <v>0.14499999999999999</v>
      </c>
      <c r="I42">
        <v>0</v>
      </c>
      <c r="J42" t="s">
        <v>79</v>
      </c>
      <c r="L42" s="8">
        <v>0.48599999999999999</v>
      </c>
      <c r="M42" s="8">
        <v>0.16800000000000001</v>
      </c>
      <c r="N42" s="8">
        <v>4.0000000000000001E-3</v>
      </c>
      <c r="O42" s="8" t="s">
        <v>92</v>
      </c>
      <c r="Q42">
        <v>0.69699999999999995</v>
      </c>
      <c r="R42">
        <v>0.20300000000000001</v>
      </c>
      <c r="S42">
        <v>1E-3</v>
      </c>
      <c r="T42" t="s">
        <v>79</v>
      </c>
      <c r="W42" t="s">
        <v>44</v>
      </c>
      <c r="X42" s="1">
        <v>-0.18919655647493699</v>
      </c>
      <c r="Y42" s="1">
        <v>0.50049408867989797</v>
      </c>
      <c r="Z42" s="1">
        <v>0.70541606156557302</v>
      </c>
      <c r="AD42" s="2">
        <v>0.12605</v>
      </c>
      <c r="AE42" s="2">
        <v>0.18110000000000001</v>
      </c>
      <c r="AF42" s="2">
        <v>0.24321400000000001</v>
      </c>
    </row>
    <row r="43" spans="1:32" x14ac:dyDescent="0.2">
      <c r="A43" t="s">
        <v>45</v>
      </c>
      <c r="G43">
        <v>-0.193</v>
      </c>
      <c r="H43">
        <v>0.182</v>
      </c>
      <c r="I43">
        <v>0.28899999999999998</v>
      </c>
      <c r="J43" t="s">
        <v>93</v>
      </c>
      <c r="L43" s="8">
        <v>0.249</v>
      </c>
      <c r="M43" s="8">
        <v>0.222</v>
      </c>
      <c r="N43" s="8">
        <v>0.26200000000000001</v>
      </c>
      <c r="O43" s="8" t="s">
        <v>93</v>
      </c>
      <c r="Q43">
        <v>6.6000000000000003E-2</v>
      </c>
      <c r="R43">
        <v>0.252</v>
      </c>
      <c r="S43">
        <v>0.79300000000000004</v>
      </c>
      <c r="T43" t="s">
        <v>93</v>
      </c>
      <c r="W43" t="s">
        <v>45</v>
      </c>
      <c r="X43" s="1">
        <v>-1.7748752312890401E-2</v>
      </c>
      <c r="Y43" s="1">
        <v>0.144574772988804</v>
      </c>
      <c r="Z43" s="1">
        <v>0.90229302450905402</v>
      </c>
      <c r="AD43" s="2">
        <v>-3.986E-2</v>
      </c>
      <c r="AE43" s="2">
        <v>0.36563000000000001</v>
      </c>
      <c r="AF43" s="2">
        <v>0.456596</v>
      </c>
    </row>
    <row r="44" spans="1:32" x14ac:dyDescent="0.2">
      <c r="A44" t="s">
        <v>46</v>
      </c>
      <c r="G44">
        <v>0.375</v>
      </c>
      <c r="H44">
        <v>0.129</v>
      </c>
      <c r="I44">
        <v>4.0000000000000001E-3</v>
      </c>
      <c r="J44" t="s">
        <v>92</v>
      </c>
      <c r="L44" s="8">
        <v>-0.48</v>
      </c>
      <c r="M44" s="8">
        <v>0.154</v>
      </c>
      <c r="N44" s="8">
        <v>2E-3</v>
      </c>
      <c r="O44" s="8" t="s">
        <v>92</v>
      </c>
      <c r="Q44">
        <v>-0.45800000000000002</v>
      </c>
      <c r="R44">
        <v>0.17499999999999999</v>
      </c>
      <c r="S44">
        <v>8.9999999999999993E-3</v>
      </c>
      <c r="T44" t="s">
        <v>92</v>
      </c>
      <c r="W44" t="s">
        <v>46</v>
      </c>
      <c r="X44" s="1">
        <v>-4.7152843001920498E-2</v>
      </c>
      <c r="Y44" s="1">
        <v>0.22740425107079501</v>
      </c>
      <c r="Z44" s="1">
        <v>0.83573456547132896</v>
      </c>
      <c r="AD44" s="2">
        <v>-0.31102000000000002</v>
      </c>
      <c r="AE44" s="2">
        <v>0.18459</v>
      </c>
      <c r="AF44" s="2">
        <v>4.5995000000000001E-2</v>
      </c>
    </row>
    <row r="45" spans="1:32" x14ac:dyDescent="0.2">
      <c r="A45" t="s">
        <v>53</v>
      </c>
      <c r="L45" s="8">
        <v>-0.39600000000000002</v>
      </c>
      <c r="M45" s="8">
        <v>0.46600000000000003</v>
      </c>
      <c r="N45" s="8">
        <v>0.39500000000000002</v>
      </c>
      <c r="O45" s="8" t="s">
        <v>93</v>
      </c>
      <c r="Q45">
        <v>-2.1890000000000001</v>
      </c>
      <c r="R45">
        <v>1.048</v>
      </c>
      <c r="S45">
        <v>3.6999999999999998E-2</v>
      </c>
      <c r="T45" t="s">
        <v>102</v>
      </c>
      <c r="W45" t="s">
        <v>53</v>
      </c>
      <c r="X45" s="1">
        <v>-0.24332861619115601</v>
      </c>
      <c r="Y45" s="1">
        <v>0.14688450762362201</v>
      </c>
      <c r="Z45" s="1">
        <v>9.7600729286379001E-2</v>
      </c>
      <c r="AD45" s="2">
        <v>0.75405999999999995</v>
      </c>
      <c r="AE45" s="2">
        <v>0.50219999999999998</v>
      </c>
      <c r="AF45" s="2">
        <v>6.6610000000000003E-2</v>
      </c>
    </row>
    <row r="46" spans="1:32" x14ac:dyDescent="0.2">
      <c r="A46" t="s">
        <v>54</v>
      </c>
      <c r="L46" s="8">
        <v>0.48799999999999999</v>
      </c>
      <c r="M46" s="8">
        <v>0.16900000000000001</v>
      </c>
      <c r="N46" s="8">
        <v>4.0000000000000001E-3</v>
      </c>
      <c r="O46" s="8" t="s">
        <v>92</v>
      </c>
      <c r="Q46">
        <v>0.66500000000000004</v>
      </c>
      <c r="R46">
        <v>0.34100000000000003</v>
      </c>
      <c r="S46">
        <v>5.0999999999999997E-2</v>
      </c>
      <c r="T46" t="s">
        <v>91</v>
      </c>
      <c r="W46" t="s">
        <v>54</v>
      </c>
      <c r="X46" s="1">
        <v>0.51203135425484603</v>
      </c>
      <c r="Y46" s="1">
        <v>0.48579300294286298</v>
      </c>
      <c r="Z46" s="1">
        <v>0.29187770623706999</v>
      </c>
      <c r="AD46" s="2">
        <v>-0.58472999999999997</v>
      </c>
      <c r="AE46" s="2">
        <v>0.19281999999999999</v>
      </c>
      <c r="AF46" s="2">
        <v>1.2130000000000001E-3</v>
      </c>
    </row>
    <row r="47" spans="1:32" x14ac:dyDescent="0.2">
      <c r="A47" t="s">
        <v>55</v>
      </c>
      <c r="L47" s="8">
        <v>0.28999999999999998</v>
      </c>
      <c r="M47" s="8">
        <v>0.222</v>
      </c>
      <c r="N47" s="8">
        <v>0.191</v>
      </c>
      <c r="O47" s="8" t="s">
        <v>93</v>
      </c>
      <c r="Q47">
        <v>-0.61299999999999999</v>
      </c>
      <c r="R47">
        <v>0.39900000000000002</v>
      </c>
      <c r="S47">
        <v>0.125</v>
      </c>
      <c r="T47" t="s">
        <v>93</v>
      </c>
      <c r="W47" t="s">
        <v>55</v>
      </c>
      <c r="X47" s="1">
        <v>-0.48282713878403899</v>
      </c>
      <c r="Y47" s="1">
        <v>0.16792660990302399</v>
      </c>
      <c r="Z47" s="1">
        <v>4.0373699646203401E-3</v>
      </c>
      <c r="AD47" s="2">
        <v>-0.34614</v>
      </c>
      <c r="AE47" s="2">
        <v>0.25913000000000003</v>
      </c>
      <c r="AF47" s="2">
        <v>9.0813000000000005E-2</v>
      </c>
    </row>
    <row r="48" spans="1:32" x14ac:dyDescent="0.2">
      <c r="A48" t="s">
        <v>56</v>
      </c>
      <c r="L48" s="8">
        <v>-0.21099999999999999</v>
      </c>
      <c r="M48" s="8">
        <v>0.155</v>
      </c>
      <c r="N48" s="8">
        <v>0.17399999999999999</v>
      </c>
      <c r="O48" s="8" t="s">
        <v>93</v>
      </c>
      <c r="Q48">
        <v>8.6999999999999994E-2</v>
      </c>
      <c r="R48">
        <v>0.29199999999999998</v>
      </c>
      <c r="S48">
        <v>0.76700000000000002</v>
      </c>
      <c r="T48" t="s">
        <v>93</v>
      </c>
      <c r="W48" t="s">
        <v>56</v>
      </c>
      <c r="X48" s="1">
        <v>-0.26768693936957899</v>
      </c>
      <c r="Y48" s="1">
        <v>0.21676818802981401</v>
      </c>
      <c r="Z48" s="1">
        <v>0.21686788835542301</v>
      </c>
      <c r="AD48" s="2">
        <v>0.20022999999999999</v>
      </c>
      <c r="AE48" s="2">
        <v>0.18360000000000001</v>
      </c>
      <c r="AF48" s="2">
        <v>0.13773299999999999</v>
      </c>
    </row>
    <row r="49" spans="1:33" x14ac:dyDescent="0.2">
      <c r="A49" t="s">
        <v>63</v>
      </c>
      <c r="Q49">
        <v>-0.46100000000000002</v>
      </c>
      <c r="R49">
        <v>0.54</v>
      </c>
      <c r="S49">
        <v>0.39300000000000002</v>
      </c>
      <c r="T49" t="s">
        <v>93</v>
      </c>
      <c r="X49" s="1">
        <v>0.23115238006452399</v>
      </c>
      <c r="Y49" s="1">
        <v>0.15553328986444601</v>
      </c>
      <c r="Z49" s="1">
        <v>0.137228259793827</v>
      </c>
    </row>
    <row r="50" spans="1:33" x14ac:dyDescent="0.2">
      <c r="A50" t="s">
        <v>64</v>
      </c>
      <c r="Q50">
        <v>0.66300000000000003</v>
      </c>
      <c r="R50">
        <v>0.20599999999999999</v>
      </c>
      <c r="S50">
        <v>1E-3</v>
      </c>
      <c r="T50" t="s">
        <v>92</v>
      </c>
    </row>
    <row r="51" spans="1:33" x14ac:dyDescent="0.2">
      <c r="A51" t="s">
        <v>65</v>
      </c>
      <c r="Q51">
        <v>0.14799999999999999</v>
      </c>
      <c r="R51">
        <v>0.24199999999999999</v>
      </c>
      <c r="S51">
        <v>0.54</v>
      </c>
      <c r="T51" t="s">
        <v>93</v>
      </c>
    </row>
    <row r="52" spans="1:33" x14ac:dyDescent="0.2">
      <c r="A52" t="s">
        <v>66</v>
      </c>
      <c r="Q52">
        <v>-0.19400000000000001</v>
      </c>
      <c r="R52">
        <v>0.17499999999999999</v>
      </c>
      <c r="S52">
        <v>0.26800000000000002</v>
      </c>
      <c r="T52" t="s">
        <v>93</v>
      </c>
    </row>
    <row r="55" spans="1:33" x14ac:dyDescent="0.2">
      <c r="A55" t="s">
        <v>67</v>
      </c>
      <c r="F55" t="s">
        <v>80</v>
      </c>
      <c r="K55" s="7" t="s">
        <v>80</v>
      </c>
      <c r="P55" s="8" t="s">
        <v>80</v>
      </c>
      <c r="U55" t="s">
        <v>80</v>
      </c>
      <c r="AA55" t="s">
        <v>80</v>
      </c>
      <c r="AG55">
        <v>294</v>
      </c>
    </row>
    <row r="56" spans="1:33" x14ac:dyDescent="0.2">
      <c r="A56" t="s">
        <v>68</v>
      </c>
      <c r="F56" t="s">
        <v>81</v>
      </c>
      <c r="K56" s="7" t="s">
        <v>81</v>
      </c>
      <c r="P56" s="8" t="s">
        <v>81</v>
      </c>
      <c r="U56" t="s">
        <v>81</v>
      </c>
      <c r="AA56" t="s">
        <v>81</v>
      </c>
      <c r="AG56">
        <v>1764</v>
      </c>
    </row>
    <row r="57" spans="1:33" x14ac:dyDescent="0.2">
      <c r="A57" t="s">
        <v>69</v>
      </c>
      <c r="F57" t="s">
        <v>82</v>
      </c>
      <c r="K57" s="7" t="s">
        <v>94</v>
      </c>
      <c r="P57" s="8" t="s">
        <v>103</v>
      </c>
      <c r="U57" t="s">
        <v>111</v>
      </c>
      <c r="AA57" s="2">
        <v>-3052.35</v>
      </c>
      <c r="AG57">
        <v>-1938.41</v>
      </c>
    </row>
    <row r="58" spans="1:33" x14ac:dyDescent="0.2">
      <c r="A58" t="s">
        <v>70</v>
      </c>
      <c r="F58" t="s">
        <v>82</v>
      </c>
      <c r="K58" s="7" t="s">
        <v>82</v>
      </c>
      <c r="P58" s="8" t="s">
        <v>82</v>
      </c>
      <c r="U58" t="s">
        <v>82</v>
      </c>
      <c r="AA58">
        <v>-3102.53</v>
      </c>
      <c r="AG58">
        <v>-2445.42</v>
      </c>
    </row>
    <row r="59" spans="1:33" x14ac:dyDescent="0.2">
      <c r="A59" t="s">
        <v>71</v>
      </c>
      <c r="F59" t="s">
        <v>83</v>
      </c>
      <c r="K59" s="7" t="s">
        <v>83</v>
      </c>
      <c r="P59" s="8" t="s">
        <v>83</v>
      </c>
      <c r="U59" t="s">
        <v>83</v>
      </c>
      <c r="AA59">
        <v>-2995.04</v>
      </c>
      <c r="AG59">
        <v>-2388.0300000000002</v>
      </c>
    </row>
    <row r="60" spans="1:33" x14ac:dyDescent="0.2">
      <c r="A60" t="s">
        <v>72</v>
      </c>
      <c r="F60" t="s">
        <v>84</v>
      </c>
      <c r="K60" s="7" t="s">
        <v>95</v>
      </c>
      <c r="P60" s="8" t="s">
        <v>104</v>
      </c>
      <c r="U60" t="s">
        <v>112</v>
      </c>
      <c r="AA60" s="2">
        <v>-2421.54</v>
      </c>
      <c r="AG60">
        <v>-1930.14</v>
      </c>
    </row>
    <row r="61" spans="1:33" x14ac:dyDescent="0.2">
      <c r="A61" t="s">
        <v>73</v>
      </c>
      <c r="F61" t="s">
        <v>85</v>
      </c>
      <c r="K61" s="7" t="s">
        <v>96</v>
      </c>
      <c r="P61" s="8" t="s">
        <v>105</v>
      </c>
      <c r="U61" t="s">
        <v>113</v>
      </c>
      <c r="AA61">
        <v>0.2195</v>
      </c>
      <c r="AG61">
        <v>0.2107</v>
      </c>
    </row>
    <row r="62" spans="1:33" x14ac:dyDescent="0.2">
      <c r="A62" t="s">
        <v>74</v>
      </c>
      <c r="F62" t="s">
        <v>86</v>
      </c>
      <c r="K62" s="7" t="s">
        <v>97</v>
      </c>
      <c r="P62" s="8" t="s">
        <v>106</v>
      </c>
      <c r="U62" t="s">
        <v>114</v>
      </c>
      <c r="AA62">
        <v>0.21010000000000001</v>
      </c>
      <c r="AG62">
        <v>0.19889999999999999</v>
      </c>
    </row>
    <row r="63" spans="1:33" x14ac:dyDescent="0.2">
      <c r="A63" t="s">
        <v>75</v>
      </c>
      <c r="F63" t="s">
        <v>87</v>
      </c>
      <c r="K63" s="7" t="s">
        <v>98</v>
      </c>
      <c r="P63" s="8" t="s">
        <v>107</v>
      </c>
      <c r="U63" t="s">
        <v>115</v>
      </c>
      <c r="AA63">
        <v>0.1915</v>
      </c>
      <c r="AG63">
        <v>0.19170000000000001</v>
      </c>
    </row>
    <row r="64" spans="1:33" x14ac:dyDescent="0.2">
      <c r="A64" t="s">
        <v>76</v>
      </c>
      <c r="F64" t="s">
        <v>88</v>
      </c>
      <c r="K64" s="7" t="s">
        <v>99</v>
      </c>
      <c r="P64" s="8" t="s">
        <v>108</v>
      </c>
      <c r="U64" t="s">
        <v>116</v>
      </c>
      <c r="AA64">
        <v>0.18479999999999999</v>
      </c>
      <c r="AG64">
        <v>0.18340000000000001</v>
      </c>
    </row>
    <row r="65" spans="1:33" x14ac:dyDescent="0.2">
      <c r="A65" t="s">
        <v>77</v>
      </c>
      <c r="F65" t="s">
        <v>89</v>
      </c>
      <c r="K65" s="7" t="s">
        <v>100</v>
      </c>
      <c r="P65" s="9" t="s">
        <v>109</v>
      </c>
      <c r="U65" t="s">
        <v>117</v>
      </c>
      <c r="AA65" s="17">
        <v>4901.08</v>
      </c>
      <c r="AG65">
        <v>3918.29</v>
      </c>
    </row>
    <row r="66" spans="1:33" x14ac:dyDescent="0.2">
      <c r="A66" t="s">
        <v>78</v>
      </c>
      <c r="F66" t="s">
        <v>90</v>
      </c>
      <c r="K66" s="7" t="s">
        <v>101</v>
      </c>
      <c r="P66" s="9" t="s">
        <v>110</v>
      </c>
      <c r="U66" t="s">
        <v>118</v>
      </c>
      <c r="AA66" s="17">
        <v>5066.7700000000004</v>
      </c>
      <c r="AG66">
        <v>4077.07</v>
      </c>
    </row>
    <row r="75" spans="1:33" x14ac:dyDescent="0.2">
      <c r="AC75" s="1" t="s">
        <v>170</v>
      </c>
    </row>
    <row r="76" spans="1:33" x14ac:dyDescent="0.2">
      <c r="AC76" s="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63B9-04C8-E04C-B2AF-072FD74F86EE}">
  <dimension ref="A1:U82"/>
  <sheetViews>
    <sheetView zoomScale="125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I21" sqref="I21:J21"/>
    </sheetView>
  </sheetViews>
  <sheetFormatPr baseColWidth="10" defaultRowHeight="15" x14ac:dyDescent="0.2"/>
  <cols>
    <col min="1" max="1" width="13.6640625" style="24" customWidth="1"/>
    <col min="2" max="2" width="10.83203125" style="24"/>
    <col min="3" max="3" width="9.1640625" style="24" customWidth="1"/>
    <col min="4" max="4" width="8" style="24" customWidth="1"/>
    <col min="5" max="8" width="10.83203125" style="24"/>
    <col min="9" max="9" width="12.6640625" style="24" customWidth="1"/>
    <col min="10" max="10" width="10.83203125" style="24"/>
    <col min="11" max="11" width="4" style="24" customWidth="1"/>
    <col min="12" max="12" width="11" style="24" customWidth="1"/>
    <col min="13" max="15" width="13" style="24" customWidth="1"/>
    <col min="16" max="16" width="7.1640625" style="24" customWidth="1"/>
    <col min="17" max="18" width="14" style="25" customWidth="1"/>
    <col min="19" max="19" width="7.1640625" style="24" customWidth="1"/>
    <col min="20" max="20" width="42.1640625" style="24" customWidth="1"/>
    <col min="21" max="21" width="90.83203125" style="24" customWidth="1"/>
    <col min="22" max="16384" width="10.83203125" style="24"/>
  </cols>
  <sheetData>
    <row r="1" spans="1:21" s="13" customFormat="1" ht="41" customHeight="1" x14ac:dyDescent="0.2">
      <c r="A1" s="22" t="s">
        <v>158</v>
      </c>
      <c r="B1" s="23"/>
      <c r="C1" s="11"/>
      <c r="D1" s="12"/>
      <c r="E1" s="36" t="s">
        <v>147</v>
      </c>
      <c r="F1" s="36"/>
      <c r="G1" s="36"/>
      <c r="H1" s="36"/>
      <c r="I1" s="36"/>
      <c r="J1" s="36"/>
      <c r="K1" s="10"/>
      <c r="L1" s="36" t="s">
        <v>152</v>
      </c>
      <c r="M1" s="36"/>
      <c r="N1" s="36"/>
      <c r="O1" s="36"/>
      <c r="Q1" s="37" t="s">
        <v>157</v>
      </c>
      <c r="R1" s="37"/>
      <c r="T1" s="14" t="s">
        <v>146</v>
      </c>
      <c r="U1" s="14" t="s">
        <v>139</v>
      </c>
    </row>
    <row r="2" spans="1:21" s="13" customFormat="1" ht="36" customHeight="1" x14ac:dyDescent="0.2">
      <c r="A2" s="13" t="s">
        <v>171</v>
      </c>
      <c r="B2" s="10" t="s">
        <v>129</v>
      </c>
      <c r="C2" s="11" t="s">
        <v>130</v>
      </c>
      <c r="D2" s="12" t="s">
        <v>131</v>
      </c>
      <c r="E2" s="10" t="s">
        <v>132</v>
      </c>
      <c r="F2" s="10" t="s">
        <v>124</v>
      </c>
      <c r="G2" s="10" t="s">
        <v>125</v>
      </c>
      <c r="H2" s="10" t="s">
        <v>126</v>
      </c>
      <c r="I2" s="10" t="s">
        <v>127</v>
      </c>
      <c r="J2" s="10" t="s">
        <v>128</v>
      </c>
      <c r="L2" s="13" t="s">
        <v>188</v>
      </c>
      <c r="M2" s="10" t="s">
        <v>133</v>
      </c>
      <c r="N2" s="10" t="s">
        <v>134</v>
      </c>
      <c r="O2" s="10" t="s">
        <v>135</v>
      </c>
      <c r="Q2" s="15" t="s">
        <v>155</v>
      </c>
      <c r="R2" s="15" t="s">
        <v>156</v>
      </c>
    </row>
    <row r="3" spans="1:21" s="18" customFormat="1" ht="52" customHeight="1" x14ac:dyDescent="0.2">
      <c r="B3" s="19"/>
      <c r="C3" s="20"/>
      <c r="D3" s="21"/>
      <c r="E3" s="19"/>
      <c r="F3" s="19" t="s">
        <v>148</v>
      </c>
      <c r="G3" s="19" t="s">
        <v>149</v>
      </c>
      <c r="H3" s="19" t="s">
        <v>183</v>
      </c>
      <c r="I3" s="19" t="s">
        <v>150</v>
      </c>
      <c r="J3" s="19" t="s">
        <v>151</v>
      </c>
      <c r="L3" s="18" t="s">
        <v>189</v>
      </c>
      <c r="M3" s="19" t="s">
        <v>153</v>
      </c>
      <c r="N3" s="19" t="s">
        <v>153</v>
      </c>
      <c r="O3" s="19" t="s">
        <v>154</v>
      </c>
      <c r="Q3" s="19" t="s">
        <v>154</v>
      </c>
      <c r="R3" s="19" t="s">
        <v>154</v>
      </c>
    </row>
    <row r="4" spans="1:21" ht="34" x14ac:dyDescent="0.2">
      <c r="A4" s="3" t="s">
        <v>159</v>
      </c>
      <c r="B4" s="24" t="s">
        <v>166</v>
      </c>
      <c r="C4" s="4">
        <v>1</v>
      </c>
      <c r="D4" s="5">
        <v>373</v>
      </c>
      <c r="E4" s="3">
        <v>-8.5519999999999996</v>
      </c>
      <c r="F4" s="3">
        <v>-0.66853189999999996</v>
      </c>
      <c r="G4" s="3">
        <v>1.6238931999999999</v>
      </c>
      <c r="H4" s="3">
        <v>-0.92270399999999997</v>
      </c>
      <c r="I4" s="3">
        <v>-1.1788794</v>
      </c>
      <c r="J4" s="3">
        <v>-1.4527574000000001</v>
      </c>
      <c r="M4" s="3">
        <v>0.1131438</v>
      </c>
      <c r="N4" s="3">
        <v>-6.6764110000000002E-2</v>
      </c>
      <c r="O4" s="3">
        <v>2.7238609999999999</v>
      </c>
    </row>
    <row r="5" spans="1:21" ht="16" x14ac:dyDescent="0.2">
      <c r="B5" s="3"/>
      <c r="C5" s="4"/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</row>
    <row r="6" spans="1:21" ht="16" x14ac:dyDescent="0.2">
      <c r="A6" s="34" t="s">
        <v>184</v>
      </c>
      <c r="B6" s="3"/>
      <c r="C6" s="4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1" ht="17" customHeight="1" x14ac:dyDescent="0.2">
      <c r="A7" s="38" t="s">
        <v>172</v>
      </c>
      <c r="B7" s="3" t="s">
        <v>136</v>
      </c>
      <c r="C7" s="4">
        <v>0.44019999999999998</v>
      </c>
      <c r="D7" s="16">
        <f>C7*372</f>
        <v>163.7544</v>
      </c>
      <c r="E7" s="25">
        <v>-5.2396580000000004</v>
      </c>
      <c r="F7" s="25">
        <v>-2.0374949999999999E-2</v>
      </c>
      <c r="G7" s="25">
        <v>1.1751048399999999</v>
      </c>
      <c r="H7" s="25">
        <v>-0.63276858000000002</v>
      </c>
      <c r="I7" s="25">
        <v>-0.12012249999999999</v>
      </c>
      <c r="J7" s="25">
        <v>-0.20386099999999999</v>
      </c>
      <c r="K7" s="3"/>
      <c r="L7" s="3"/>
      <c r="M7" s="25">
        <v>0.28438279999999999</v>
      </c>
      <c r="N7" s="25">
        <v>-5.5374939999999996E-3</v>
      </c>
      <c r="O7" s="25">
        <v>2.9583330000000001</v>
      </c>
      <c r="Q7" s="26">
        <v>3.5628739999999999</v>
      </c>
      <c r="R7" s="26">
        <v>3.1017960000000002</v>
      </c>
      <c r="T7" s="25" t="s">
        <v>180</v>
      </c>
      <c r="U7" s="24" t="s">
        <v>162</v>
      </c>
    </row>
    <row r="8" spans="1:21" ht="17" customHeight="1" x14ac:dyDescent="0.2">
      <c r="A8" s="38"/>
      <c r="B8" s="3" t="s">
        <v>137</v>
      </c>
      <c r="C8" s="4">
        <v>0.34549999999999997</v>
      </c>
      <c r="D8" s="16">
        <f t="shared" ref="D8:D9" si="0">C8*372</f>
        <v>128.52599999999998</v>
      </c>
      <c r="E8" s="25">
        <v>-11.960948999999999</v>
      </c>
      <c r="F8" s="25">
        <v>-0.51352998999999999</v>
      </c>
      <c r="G8" s="27">
        <v>2.9108680000000001E-2</v>
      </c>
      <c r="H8" s="25">
        <v>-7.817404E-2</v>
      </c>
      <c r="I8" s="27">
        <v>-0.37394050000000001</v>
      </c>
      <c r="J8" s="25">
        <v>-0.57822169999999995</v>
      </c>
      <c r="K8" s="3"/>
      <c r="L8" s="3"/>
      <c r="M8" s="25">
        <v>0.1916882</v>
      </c>
      <c r="N8" s="25">
        <v>-0.45784888699999998</v>
      </c>
      <c r="O8" s="25">
        <v>2.889764</v>
      </c>
      <c r="Q8" s="26">
        <v>3.5118109999999998</v>
      </c>
      <c r="R8" s="26">
        <v>2.9842520000000001</v>
      </c>
      <c r="T8" s="25" t="s">
        <v>181</v>
      </c>
      <c r="U8" s="24" t="s">
        <v>160</v>
      </c>
    </row>
    <row r="9" spans="1:21" ht="17" customHeight="1" x14ac:dyDescent="0.2">
      <c r="A9" s="38"/>
      <c r="B9" s="3" t="s">
        <v>138</v>
      </c>
      <c r="C9" s="4">
        <v>0.21440000000000001</v>
      </c>
      <c r="D9" s="16">
        <f t="shared" si="0"/>
        <v>79.756799999999998</v>
      </c>
      <c r="E9" s="25">
        <v>-3.0156710000000002</v>
      </c>
      <c r="F9" s="27">
        <v>-0.49434567000000001</v>
      </c>
      <c r="G9" s="25">
        <v>1.0371760299999999</v>
      </c>
      <c r="H9" s="25">
        <v>-0.61609676000000002</v>
      </c>
      <c r="I9" s="27">
        <v>-2.5005600000000001</v>
      </c>
      <c r="J9" s="27">
        <v>-2.577448</v>
      </c>
      <c r="K9" s="3"/>
      <c r="L9" s="3"/>
      <c r="M9" s="25">
        <v>-0.38356509999999999</v>
      </c>
      <c r="N9" s="25">
        <v>0.438129396</v>
      </c>
      <c r="O9" s="25">
        <v>1.948718</v>
      </c>
      <c r="Q9" s="26">
        <v>3.0769229999999999</v>
      </c>
      <c r="R9" s="26">
        <v>3.4871789999999998</v>
      </c>
      <c r="T9" s="25" t="s">
        <v>182</v>
      </c>
      <c r="U9" s="24" t="s">
        <v>161</v>
      </c>
    </row>
    <row r="10" spans="1:21" x14ac:dyDescent="0.2">
      <c r="D10" s="33">
        <f>SUM(D7:D9)</f>
        <v>372.03719999999998</v>
      </c>
    </row>
    <row r="12" spans="1:21" x14ac:dyDescent="0.2">
      <c r="A12" s="49" t="s">
        <v>190</v>
      </c>
    </row>
    <row r="13" spans="1:21" ht="17" x14ac:dyDescent="0.2">
      <c r="A13" s="38" t="s">
        <v>172</v>
      </c>
      <c r="B13" s="3" t="s">
        <v>136</v>
      </c>
      <c r="C13" s="28">
        <v>0.43680000000000002</v>
      </c>
      <c r="D13" s="33">
        <f>C13*293</f>
        <v>127.98240000000001</v>
      </c>
      <c r="E13" s="25">
        <v>-4.307188</v>
      </c>
      <c r="F13" s="48">
        <v>-5.6911080000000003E-2</v>
      </c>
      <c r="G13" s="25">
        <v>1.4155914599999999</v>
      </c>
      <c r="H13" s="25">
        <v>-0.54895119999999997</v>
      </c>
      <c r="I13" s="48">
        <v>-0.15780269999999999</v>
      </c>
      <c r="J13" s="48">
        <v>-2.449573E-2</v>
      </c>
      <c r="L13" s="47">
        <v>102409.79</v>
      </c>
      <c r="M13" s="43">
        <v>0.36390070000000002</v>
      </c>
      <c r="N13" s="43">
        <v>4.0576270000000003E-3</v>
      </c>
      <c r="O13" s="43">
        <v>3.0373709999999998</v>
      </c>
      <c r="P13" s="25"/>
      <c r="Q13" s="43">
        <v>3.6237110000000001</v>
      </c>
      <c r="R13" s="43">
        <v>3.1365980000000002</v>
      </c>
    </row>
    <row r="14" spans="1:21" ht="17" x14ac:dyDescent="0.2">
      <c r="A14" s="38"/>
      <c r="B14" s="3" t="s">
        <v>137</v>
      </c>
      <c r="C14" s="28">
        <v>0.3382</v>
      </c>
      <c r="D14" s="33">
        <f t="shared" ref="D14:D15" si="1">C14*293</f>
        <v>99.092600000000004</v>
      </c>
      <c r="E14" s="25">
        <v>-12.072918</v>
      </c>
      <c r="F14" s="25">
        <v>-0.57777177999999996</v>
      </c>
      <c r="G14" s="48">
        <v>-8.2731589999999994E-2</v>
      </c>
      <c r="H14" s="25">
        <v>-0.1130521</v>
      </c>
      <c r="I14" s="48">
        <v>-0.38922630000000003</v>
      </c>
      <c r="J14" s="25">
        <v>-0.64567629999999998</v>
      </c>
      <c r="L14" s="47">
        <v>80258.47</v>
      </c>
      <c r="M14" s="43">
        <v>0.47952470000000003</v>
      </c>
      <c r="N14" s="43">
        <v>-0.59041677299999995</v>
      </c>
      <c r="O14" s="43">
        <v>3.2691620000000001</v>
      </c>
      <c r="P14" s="25"/>
      <c r="Q14" s="43">
        <v>3.5567570000000002</v>
      </c>
      <c r="R14" s="43">
        <v>2.9171170000000002</v>
      </c>
    </row>
    <row r="15" spans="1:21" ht="17" x14ac:dyDescent="0.2">
      <c r="A15" s="38"/>
      <c r="B15" s="3" t="s">
        <v>138</v>
      </c>
      <c r="C15" s="28">
        <v>0.22500000000000001</v>
      </c>
      <c r="D15" s="33">
        <f t="shared" si="1"/>
        <v>65.924999999999997</v>
      </c>
      <c r="E15" s="25">
        <v>-2.3629799999999999</v>
      </c>
      <c r="F15" s="25">
        <v>-0.43171055000000003</v>
      </c>
      <c r="G15" s="25">
        <v>1.0947955599999999</v>
      </c>
      <c r="H15" s="25">
        <v>-0.4848305</v>
      </c>
      <c r="I15" s="25">
        <v>-1.5872371999999999</v>
      </c>
      <c r="J15" s="25">
        <v>-1.9909904899999999</v>
      </c>
      <c r="L15" s="47">
        <v>99797.98</v>
      </c>
      <c r="M15" s="43">
        <v>-0.24332090000000001</v>
      </c>
      <c r="N15" s="43">
        <v>0.36764788199999998</v>
      </c>
      <c r="O15" s="43">
        <v>1.9595959999999999</v>
      </c>
      <c r="P15" s="25"/>
      <c r="Q15" s="43">
        <v>3.1944439999999998</v>
      </c>
      <c r="R15" s="43">
        <v>3.545455</v>
      </c>
    </row>
    <row r="16" spans="1:21" x14ac:dyDescent="0.2">
      <c r="D16" s="33">
        <f>SUM(D13:D15)</f>
        <v>293</v>
      </c>
    </row>
    <row r="18" spans="1:21" x14ac:dyDescent="0.2">
      <c r="A18" s="49" t="s">
        <v>212</v>
      </c>
    </row>
    <row r="19" spans="1:21" ht="17" x14ac:dyDescent="0.2">
      <c r="A19" s="38" t="s">
        <v>172</v>
      </c>
      <c r="B19" s="3" t="s">
        <v>136</v>
      </c>
      <c r="C19" s="28">
        <v>0.53759999999999997</v>
      </c>
      <c r="D19" s="33">
        <f>C19*219</f>
        <v>117.73439999999999</v>
      </c>
      <c r="E19" s="25">
        <v>-5.2347830000000002</v>
      </c>
      <c r="F19" s="25">
        <v>-0.13052569999999999</v>
      </c>
      <c r="G19" s="25">
        <v>1.2156625000000001</v>
      </c>
      <c r="H19" s="25">
        <v>-0.53331280000000003</v>
      </c>
      <c r="I19" s="25">
        <v>-0.42369773999999999</v>
      </c>
      <c r="J19" s="48">
        <v>-0.16633010000000001</v>
      </c>
      <c r="K19" s="25"/>
      <c r="L19" s="47">
        <v>113699.08</v>
      </c>
      <c r="M19" s="43">
        <v>0.26359749999999998</v>
      </c>
      <c r="N19" s="43">
        <v>1.678999E-3</v>
      </c>
      <c r="O19" s="43">
        <v>3.0394220000000001</v>
      </c>
      <c r="P19" s="25"/>
      <c r="Q19" s="43">
        <v>3.5716160000000001</v>
      </c>
      <c r="R19" s="43">
        <v>3.189225</v>
      </c>
      <c r="S19" s="44" t="s">
        <v>185</v>
      </c>
      <c r="T19" s="44" t="s">
        <v>186</v>
      </c>
    </row>
    <row r="20" spans="1:21" ht="17" x14ac:dyDescent="0.2">
      <c r="A20" s="38"/>
      <c r="B20" s="3" t="s">
        <v>137</v>
      </c>
      <c r="C20" s="28">
        <v>0.27239999999999998</v>
      </c>
      <c r="D20" s="33">
        <f t="shared" ref="D20:D21" si="2">C20*219</f>
        <v>59.655599999999993</v>
      </c>
      <c r="E20" s="25">
        <v>-17.028220000000001</v>
      </c>
      <c r="F20" s="25">
        <v>-0.84136719999999998</v>
      </c>
      <c r="G20" s="48">
        <v>-0.22639509999999999</v>
      </c>
      <c r="H20" s="48">
        <v>-0.12834789999999999</v>
      </c>
      <c r="I20" s="48">
        <v>-1.086732E-2</v>
      </c>
      <c r="J20" s="48">
        <v>-0.77157010000000004</v>
      </c>
      <c r="K20" s="25"/>
      <c r="L20" s="47">
        <v>78828.38</v>
      </c>
      <c r="M20" s="43">
        <v>0.81989889999999999</v>
      </c>
      <c r="N20" s="43">
        <v>-0.65615816900000001</v>
      </c>
      <c r="O20" s="43">
        <v>3.8085810000000002</v>
      </c>
      <c r="P20" s="25"/>
      <c r="Q20" s="43">
        <v>3.7326730000000001</v>
      </c>
      <c r="R20" s="43">
        <v>2.7722769999999999</v>
      </c>
      <c r="S20" s="44"/>
      <c r="T20" s="44"/>
    </row>
    <row r="21" spans="1:21" ht="17" x14ac:dyDescent="0.2">
      <c r="A21" s="38"/>
      <c r="B21" s="3" t="s">
        <v>138</v>
      </c>
      <c r="C21" s="28">
        <v>0.18990000000000001</v>
      </c>
      <c r="D21" s="33">
        <f t="shared" si="2"/>
        <v>41.588100000000004</v>
      </c>
      <c r="E21" s="62">
        <v>-1.423368</v>
      </c>
      <c r="F21" s="35">
        <v>-0.21264669999999999</v>
      </c>
      <c r="G21" s="35">
        <v>1.165953</v>
      </c>
      <c r="H21" s="35">
        <v>-0.40516219999999997</v>
      </c>
      <c r="I21" s="35">
        <v>-0.83884742999999995</v>
      </c>
      <c r="J21" s="35">
        <v>-0.91693610000000003</v>
      </c>
      <c r="K21" s="25"/>
      <c r="L21" s="47">
        <v>112391.3</v>
      </c>
      <c r="M21" s="43">
        <v>-0.1726809</v>
      </c>
      <c r="N21" s="43">
        <v>0.34288606300000002</v>
      </c>
      <c r="O21" s="43">
        <v>1.9347829999999999</v>
      </c>
      <c r="P21" s="25"/>
      <c r="Q21" s="43">
        <v>3.1260870000000001</v>
      </c>
      <c r="R21" s="43">
        <v>3.4173909999999998</v>
      </c>
      <c r="S21" s="43"/>
      <c r="T21" s="43"/>
    </row>
    <row r="22" spans="1:21" x14ac:dyDescent="0.2">
      <c r="D22" s="33">
        <f>SUM(D19:D21)</f>
        <v>218.97809999999998</v>
      </c>
      <c r="E22" s="44"/>
      <c r="F22" s="44"/>
      <c r="G22" s="44"/>
      <c r="H22" s="44"/>
      <c r="I22" s="44"/>
      <c r="J22" s="44"/>
      <c r="K22" s="25"/>
      <c r="L22" s="25"/>
      <c r="M22" s="41"/>
      <c r="N22" s="42"/>
      <c r="O22" s="42"/>
      <c r="P22" s="42"/>
      <c r="Q22" s="42"/>
      <c r="R22" s="42"/>
      <c r="S22" s="42"/>
      <c r="T22" s="42"/>
    </row>
    <row r="23" spans="1:21" x14ac:dyDescent="0.2">
      <c r="M23" s="39"/>
      <c r="N23" s="40"/>
      <c r="O23" s="40"/>
      <c r="P23" s="40"/>
      <c r="Q23" s="40"/>
      <c r="R23" s="40"/>
      <c r="S23" s="40"/>
      <c r="T23" s="40"/>
    </row>
    <row r="24" spans="1:21" x14ac:dyDescent="0.2">
      <c r="M24" s="39"/>
      <c r="N24"/>
      <c r="O24"/>
      <c r="P24"/>
      <c r="Q24"/>
      <c r="R24"/>
      <c r="S24"/>
      <c r="T24"/>
    </row>
    <row r="25" spans="1:21" x14ac:dyDescent="0.2">
      <c r="M25" s="45">
        <v>2</v>
      </c>
      <c r="N25" s="43"/>
    </row>
    <row r="26" spans="1:21" x14ac:dyDescent="0.2">
      <c r="M26" s="45">
        <v>3</v>
      </c>
      <c r="N26" s="43"/>
    </row>
    <row r="27" spans="1:21" x14ac:dyDescent="0.2">
      <c r="M27" s="45" t="s">
        <v>187</v>
      </c>
      <c r="N27" s="43"/>
      <c r="O27" s="43"/>
      <c r="P27" s="43"/>
      <c r="Q27" s="43"/>
      <c r="R27" s="43"/>
      <c r="S27" s="43"/>
      <c r="T27" s="43"/>
    </row>
    <row r="28" spans="1:21" x14ac:dyDescent="0.2">
      <c r="J28" s="46"/>
    </row>
    <row r="30" spans="1:21" ht="16" x14ac:dyDescent="0.2">
      <c r="A30" s="38" t="s">
        <v>173</v>
      </c>
      <c r="B30" s="24" t="s">
        <v>136</v>
      </c>
      <c r="C30" s="28">
        <v>0.4239</v>
      </c>
      <c r="D30" s="16">
        <f t="shared" ref="D30:D32" si="3">C30*372</f>
        <v>157.6908</v>
      </c>
    </row>
    <row r="31" spans="1:21" ht="16" x14ac:dyDescent="0.2">
      <c r="A31" s="38"/>
      <c r="B31" s="24" t="s">
        <v>137</v>
      </c>
      <c r="C31" s="28">
        <v>0.34660000000000002</v>
      </c>
      <c r="D31" s="16">
        <f t="shared" si="3"/>
        <v>128.93520000000001</v>
      </c>
      <c r="K31" s="13"/>
      <c r="L31" s="13"/>
      <c r="M31" s="13"/>
      <c r="N31" s="13"/>
      <c r="O31" s="13"/>
      <c r="P31" s="13"/>
      <c r="Q31" s="15"/>
      <c r="R31" s="15"/>
      <c r="S31" s="13"/>
      <c r="T31" s="13"/>
      <c r="U31" s="13"/>
    </row>
    <row r="32" spans="1:21" ht="16" x14ac:dyDescent="0.2">
      <c r="A32" s="38"/>
      <c r="B32" s="24" t="s">
        <v>138</v>
      </c>
      <c r="C32" s="28">
        <v>0.22950000000000001</v>
      </c>
      <c r="D32" s="16">
        <f t="shared" si="3"/>
        <v>85.374000000000009</v>
      </c>
      <c r="K32" s="13"/>
      <c r="L32" s="13"/>
      <c r="M32" s="13"/>
      <c r="N32" s="13"/>
      <c r="O32" s="13"/>
      <c r="P32" s="13"/>
      <c r="Q32" s="15"/>
      <c r="R32" s="15"/>
      <c r="S32" s="13"/>
      <c r="T32" s="13"/>
      <c r="U32" s="13"/>
    </row>
    <row r="33" spans="1:19" x14ac:dyDescent="0.2">
      <c r="A33" s="23" t="s">
        <v>174</v>
      </c>
      <c r="M33" s="13"/>
      <c r="N33" s="13"/>
      <c r="O33" s="13"/>
      <c r="P33" s="13"/>
      <c r="Q33" s="15"/>
      <c r="R33" s="15"/>
      <c r="S33" s="13"/>
    </row>
    <row r="34" spans="1:19" x14ac:dyDescent="0.2">
      <c r="A34" s="23" t="s">
        <v>175</v>
      </c>
    </row>
    <row r="35" spans="1:19" x14ac:dyDescent="0.2">
      <c r="A35" s="23" t="s">
        <v>176</v>
      </c>
    </row>
    <row r="37" spans="1:19" ht="16" x14ac:dyDescent="0.2">
      <c r="D37" s="23" t="s">
        <v>177</v>
      </c>
      <c r="M37" s="3">
        <v>0.26943739999999999</v>
      </c>
      <c r="N37" s="3">
        <v>-1.0036700000000001E-2</v>
      </c>
      <c r="O37" s="3">
        <v>2.9454549999999999</v>
      </c>
      <c r="P37" s="3"/>
      <c r="Q37" s="3">
        <v>3.5609760000000001</v>
      </c>
      <c r="R37" s="3">
        <v>3.1158540000000001</v>
      </c>
    </row>
    <row r="38" spans="1:19" ht="16" x14ac:dyDescent="0.2">
      <c r="M38" s="3"/>
      <c r="N38" s="3"/>
      <c r="O38" s="3"/>
      <c r="P38" s="3"/>
      <c r="Q38" s="3"/>
      <c r="R38" s="3"/>
    </row>
    <row r="39" spans="1:19" ht="16" x14ac:dyDescent="0.2">
      <c r="D39" s="29">
        <v>1.5</v>
      </c>
      <c r="E39" s="3">
        <v>-2.5229200000000001</v>
      </c>
      <c r="F39" s="31">
        <v>5.4245450000000002E-3</v>
      </c>
      <c r="G39" s="3">
        <v>0.4842863</v>
      </c>
      <c r="H39" s="3">
        <v>-0.2593317</v>
      </c>
      <c r="I39" s="31">
        <v>-5.3207049999999999E-2</v>
      </c>
      <c r="J39" s="31">
        <v>-8.8383050000000005E-2</v>
      </c>
      <c r="M39" s="3"/>
      <c r="N39" s="3"/>
      <c r="O39" s="3"/>
      <c r="P39" s="3"/>
      <c r="Q39" s="3"/>
      <c r="R39" s="3"/>
    </row>
    <row r="40" spans="1:19" ht="16" x14ac:dyDescent="0.2">
      <c r="D40" s="29">
        <v>2.5</v>
      </c>
      <c r="E40" s="3">
        <v>-4.2048670000000001</v>
      </c>
      <c r="F40" s="31">
        <v>9.0409089999999998E-3</v>
      </c>
      <c r="G40" s="3">
        <v>0.80714379999999997</v>
      </c>
      <c r="H40" s="3">
        <v>-0.43221949999999998</v>
      </c>
      <c r="I40" s="31">
        <v>-8.8678419999999994E-2</v>
      </c>
      <c r="J40" s="31">
        <v>-0.14730509</v>
      </c>
      <c r="K40" s="13"/>
      <c r="L40" s="13"/>
      <c r="M40" s="3"/>
      <c r="N40" s="3"/>
      <c r="O40" s="3"/>
      <c r="P40" s="3"/>
      <c r="Q40" s="3"/>
      <c r="R40" s="3"/>
    </row>
    <row r="41" spans="1:19" ht="16" x14ac:dyDescent="0.2">
      <c r="D41" s="30">
        <v>3.5</v>
      </c>
      <c r="E41" s="3">
        <v>-5.8868140000000002</v>
      </c>
      <c r="F41" s="31">
        <v>1.2657272000000001E-2</v>
      </c>
      <c r="G41" s="3">
        <v>1.1300014</v>
      </c>
      <c r="H41" s="3">
        <v>-0.60510719999999996</v>
      </c>
      <c r="I41" s="31">
        <v>-0.12414979</v>
      </c>
      <c r="J41" s="31">
        <v>-0.20622712000000001</v>
      </c>
      <c r="K41" s="13"/>
      <c r="L41" s="13"/>
      <c r="M41" s="3"/>
      <c r="N41" s="3"/>
      <c r="O41" s="3"/>
      <c r="P41" s="3"/>
      <c r="Q41" s="3"/>
      <c r="R41" s="3"/>
    </row>
    <row r="42" spans="1:19" ht="16" x14ac:dyDescent="0.2">
      <c r="D42" s="30">
        <v>4.5</v>
      </c>
      <c r="E42" s="3">
        <v>-7.5687610000000003</v>
      </c>
      <c r="F42" s="31">
        <v>1.6273636000000001E-2</v>
      </c>
      <c r="G42" s="3">
        <v>1.4528589000000001</v>
      </c>
      <c r="H42" s="3">
        <v>-0.77799499999999999</v>
      </c>
      <c r="I42" s="31">
        <v>-0.15962116000000001</v>
      </c>
      <c r="J42" s="31">
        <v>-0.26514915999999999</v>
      </c>
      <c r="M42" s="3"/>
      <c r="N42" s="3"/>
      <c r="O42" s="3"/>
      <c r="P42" s="3"/>
      <c r="Q42" s="3"/>
      <c r="R42" s="3"/>
    </row>
    <row r="43" spans="1:19" ht="16" x14ac:dyDescent="0.2">
      <c r="D43" s="30">
        <v>5.5</v>
      </c>
      <c r="E43" s="3">
        <v>-9.2507079999999995</v>
      </c>
      <c r="F43" s="31">
        <v>1.9890000000000001E-2</v>
      </c>
      <c r="G43" s="3">
        <v>1.7757164000000001</v>
      </c>
      <c r="H43" s="3">
        <v>-0.95088280000000003</v>
      </c>
      <c r="I43" s="31">
        <v>-0.19509252999999999</v>
      </c>
      <c r="J43" s="31">
        <v>-0.32407119000000001</v>
      </c>
      <c r="M43" s="3"/>
      <c r="N43" s="3"/>
      <c r="O43" s="3"/>
      <c r="P43" s="3"/>
      <c r="Q43" s="3"/>
      <c r="R43" s="3"/>
    </row>
    <row r="44" spans="1:19" ht="16" x14ac:dyDescent="0.2">
      <c r="D44" s="30">
        <v>6.5</v>
      </c>
      <c r="E44" s="3">
        <v>-10.932653999999999</v>
      </c>
      <c r="F44" s="31">
        <v>2.3506362999999999E-2</v>
      </c>
      <c r="G44" s="3">
        <v>2.0985738999999999</v>
      </c>
      <c r="H44" s="3">
        <v>-1.1237706000000001</v>
      </c>
      <c r="I44" s="31">
        <v>-0.23056389999999999</v>
      </c>
      <c r="J44" s="31">
        <v>-0.38299323000000002</v>
      </c>
      <c r="M44" s="3"/>
      <c r="N44" s="3"/>
      <c r="O44" s="3"/>
      <c r="P44" s="3"/>
      <c r="Q44" s="3"/>
      <c r="R44" s="3"/>
    </row>
    <row r="45" spans="1:19" ht="16" x14ac:dyDescent="0.2">
      <c r="D45" s="30"/>
      <c r="E45" s="3"/>
      <c r="F45" s="3"/>
      <c r="G45" s="3"/>
      <c r="H45" s="3"/>
      <c r="I45" s="3"/>
      <c r="J45" s="3"/>
      <c r="M45" s="3"/>
      <c r="N45" s="3"/>
      <c r="O45" s="3"/>
      <c r="P45" s="3"/>
      <c r="Q45" s="3"/>
      <c r="R45" s="3"/>
    </row>
    <row r="46" spans="1:19" ht="16" x14ac:dyDescent="0.2">
      <c r="D46" s="23" t="s">
        <v>178</v>
      </c>
      <c r="E46" s="3"/>
      <c r="F46" s="3"/>
      <c r="G46" s="3"/>
      <c r="H46" s="3"/>
      <c r="I46" s="3"/>
      <c r="J46" s="3"/>
      <c r="M46" s="3">
        <v>0.2133893</v>
      </c>
      <c r="N46" s="3">
        <v>-0.45527709999999999</v>
      </c>
      <c r="O46" s="3">
        <v>2.9279999999999999</v>
      </c>
      <c r="P46" s="3"/>
      <c r="Q46" s="3">
        <v>3.504</v>
      </c>
      <c r="R46" s="3">
        <v>2.968</v>
      </c>
    </row>
    <row r="47" spans="1:19" ht="16" x14ac:dyDescent="0.2">
      <c r="D47" s="30"/>
      <c r="E47" s="3"/>
      <c r="F47" s="3"/>
      <c r="G47" s="3"/>
      <c r="H47" s="3"/>
      <c r="I47" s="3"/>
      <c r="J47" s="3"/>
      <c r="M47" s="3"/>
      <c r="N47" s="3"/>
      <c r="O47" s="3"/>
      <c r="P47" s="3"/>
      <c r="Q47" s="3"/>
      <c r="R47" s="3"/>
    </row>
    <row r="48" spans="1:19" ht="16" x14ac:dyDescent="0.2">
      <c r="D48" s="30">
        <v>1.5</v>
      </c>
      <c r="E48" s="3">
        <v>-4.5551640000000004</v>
      </c>
      <c r="F48" s="3">
        <v>-0.1724976</v>
      </c>
      <c r="G48" s="31">
        <v>1.458125E-2</v>
      </c>
      <c r="H48" s="3">
        <v>-2.6324340000000002E-2</v>
      </c>
      <c r="I48" s="31">
        <v>-0.1204315</v>
      </c>
      <c r="J48" s="3">
        <v>-0.19038669999999999</v>
      </c>
      <c r="M48" s="3"/>
      <c r="N48" s="3"/>
      <c r="O48" s="3"/>
      <c r="P48" s="3"/>
      <c r="Q48" s="3"/>
      <c r="R48" s="3"/>
    </row>
    <row r="49" spans="4:18" ht="16" x14ac:dyDescent="0.2">
      <c r="D49" s="30">
        <v>2.5</v>
      </c>
      <c r="E49" s="3">
        <v>-7.5919400000000001</v>
      </c>
      <c r="F49" s="3">
        <v>-0.28749599999999997</v>
      </c>
      <c r="G49" s="31">
        <v>2.430208E-2</v>
      </c>
      <c r="H49" s="3">
        <v>-4.3873889999999999E-2</v>
      </c>
      <c r="I49" s="31">
        <v>-0.20071919999999999</v>
      </c>
      <c r="J49" s="3">
        <v>-0.31731120000000002</v>
      </c>
      <c r="M49" s="3"/>
      <c r="N49" s="3"/>
      <c r="O49" s="3"/>
      <c r="P49" s="3"/>
      <c r="Q49" s="3"/>
      <c r="R49" s="3"/>
    </row>
    <row r="50" spans="4:18" ht="16" x14ac:dyDescent="0.2">
      <c r="D50" s="30">
        <v>3.5</v>
      </c>
      <c r="E50" s="3">
        <v>-10.628716000000001</v>
      </c>
      <c r="F50" s="3">
        <v>-0.40249439999999997</v>
      </c>
      <c r="G50" s="31">
        <v>3.4022910000000003E-2</v>
      </c>
      <c r="H50" s="3">
        <v>-6.1423449999999997E-2</v>
      </c>
      <c r="I50" s="31">
        <v>-0.2810069</v>
      </c>
      <c r="J50" s="3">
        <v>-0.44423570000000001</v>
      </c>
      <c r="M50" s="3"/>
      <c r="N50" s="3"/>
      <c r="O50" s="3"/>
      <c r="P50" s="3"/>
      <c r="Q50" s="3"/>
      <c r="R50" s="3"/>
    </row>
    <row r="51" spans="4:18" ht="16" x14ac:dyDescent="0.2">
      <c r="D51" s="30">
        <v>4.5</v>
      </c>
      <c r="E51" s="3">
        <v>-13.665492</v>
      </c>
      <c r="F51" s="3">
        <v>-0.51749279999999998</v>
      </c>
      <c r="G51" s="31">
        <v>4.3743749999999998E-2</v>
      </c>
      <c r="H51" s="3">
        <v>-7.8973009999999996E-2</v>
      </c>
      <c r="I51" s="31">
        <v>-0.36129460000000002</v>
      </c>
      <c r="J51" s="3">
        <v>-0.57116020000000001</v>
      </c>
      <c r="M51" s="3"/>
      <c r="N51" s="3"/>
      <c r="O51" s="3"/>
      <c r="P51" s="3"/>
      <c r="Q51" s="3"/>
      <c r="R51" s="3"/>
    </row>
    <row r="52" spans="4:18" ht="16" x14ac:dyDescent="0.2">
      <c r="D52" s="30">
        <v>5.5</v>
      </c>
      <c r="E52" s="3">
        <v>-16.702268</v>
      </c>
      <c r="F52" s="3">
        <v>-0.63249120000000003</v>
      </c>
      <c r="G52" s="31">
        <v>5.3464579999999998E-2</v>
      </c>
      <c r="H52" s="3">
        <v>-9.6522570000000002E-2</v>
      </c>
      <c r="I52" s="31">
        <v>-0.44158229999999998</v>
      </c>
      <c r="J52" s="3">
        <v>-0.6980847</v>
      </c>
      <c r="M52" s="3"/>
      <c r="N52" s="3"/>
      <c r="O52" s="3"/>
      <c r="P52" s="3"/>
      <c r="Q52" s="3"/>
      <c r="R52" s="3"/>
    </row>
    <row r="53" spans="4:18" ht="16" x14ac:dyDescent="0.2">
      <c r="D53" s="30">
        <v>6.5</v>
      </c>
      <c r="E53" s="3">
        <v>-19.739044</v>
      </c>
      <c r="F53" s="3">
        <v>-0.74748959999999998</v>
      </c>
      <c r="G53" s="31">
        <v>6.3185409999999997E-2</v>
      </c>
      <c r="H53" s="3">
        <v>-0.11407212</v>
      </c>
      <c r="I53" s="31">
        <v>-0.52186999999999995</v>
      </c>
      <c r="J53" s="3">
        <v>-0.8250092</v>
      </c>
      <c r="M53" s="3"/>
      <c r="N53" s="3"/>
      <c r="O53" s="3"/>
      <c r="P53" s="3"/>
      <c r="Q53" s="3"/>
      <c r="R53" s="3"/>
    </row>
    <row r="54" spans="4:18" ht="16" x14ac:dyDescent="0.2">
      <c r="D54" s="30"/>
      <c r="E54" s="3"/>
      <c r="F54" s="3"/>
      <c r="G54" s="3"/>
      <c r="H54" s="3"/>
      <c r="I54" s="3"/>
      <c r="J54" s="3"/>
      <c r="M54" s="3"/>
      <c r="N54" s="3"/>
      <c r="O54" s="3"/>
      <c r="P54" s="3"/>
      <c r="Q54" s="3"/>
      <c r="R54" s="3"/>
    </row>
    <row r="55" spans="4:18" ht="16" x14ac:dyDescent="0.2">
      <c r="D55" s="23" t="s">
        <v>179</v>
      </c>
      <c r="E55" s="3"/>
      <c r="F55" s="3"/>
      <c r="G55" s="3"/>
      <c r="H55" s="3"/>
      <c r="I55" s="3"/>
      <c r="J55" s="3"/>
      <c r="M55" s="3">
        <v>-0.34853250000000002</v>
      </c>
      <c r="N55" s="3">
        <v>0.4055745</v>
      </c>
      <c r="O55" s="3">
        <v>1.9759040000000001</v>
      </c>
      <c r="P55" s="3"/>
      <c r="Q55" s="3">
        <v>3.120482</v>
      </c>
      <c r="R55" s="3">
        <v>3.4578310000000001</v>
      </c>
    </row>
    <row r="56" spans="4:18" ht="16" x14ac:dyDescent="0.2">
      <c r="D56" s="30"/>
      <c r="E56" s="3"/>
      <c r="F56" s="3"/>
      <c r="G56" s="3"/>
      <c r="H56" s="3"/>
      <c r="I56" s="3"/>
      <c r="J56" s="3"/>
    </row>
    <row r="57" spans="4:18" ht="16" x14ac:dyDescent="0.2">
      <c r="D57" s="30">
        <v>1.5</v>
      </c>
      <c r="E57" s="31">
        <v>-1.5166790000000001</v>
      </c>
      <c r="F57" s="3">
        <v>-0.42663830000000003</v>
      </c>
      <c r="G57" s="3">
        <v>0.93326710000000002</v>
      </c>
      <c r="H57" s="3">
        <v>-0.54450240000000005</v>
      </c>
      <c r="I57" s="3">
        <v>-1.950582</v>
      </c>
      <c r="J57" s="3">
        <v>-1.9975210000000001</v>
      </c>
    </row>
    <row r="58" spans="4:18" ht="16" x14ac:dyDescent="0.2">
      <c r="D58" s="30">
        <v>2.5</v>
      </c>
      <c r="E58" s="31">
        <v>-2.5277980000000002</v>
      </c>
      <c r="F58" s="3">
        <v>-0.71106389999999997</v>
      </c>
      <c r="G58" s="3">
        <v>1.5554452000000001</v>
      </c>
      <c r="H58" s="3">
        <v>-0.90750399999999998</v>
      </c>
      <c r="I58" s="3">
        <v>-3.2509700000000001</v>
      </c>
      <c r="J58" s="3">
        <v>-3.329202</v>
      </c>
    </row>
    <row r="59" spans="4:18" ht="16" x14ac:dyDescent="0.2">
      <c r="D59" s="29">
        <v>3.5</v>
      </c>
      <c r="E59" s="31">
        <v>-3.5389170000000001</v>
      </c>
      <c r="F59" s="3">
        <v>-0.99548939999999997</v>
      </c>
      <c r="G59" s="3">
        <v>2.1776232000000002</v>
      </c>
      <c r="H59" s="3">
        <v>-1.2705055999999999</v>
      </c>
      <c r="I59" s="3">
        <v>-4.5513579999999996</v>
      </c>
      <c r="J59" s="3">
        <v>-4.6608830000000001</v>
      </c>
    </row>
    <row r="60" spans="4:18" ht="16" x14ac:dyDescent="0.2">
      <c r="D60" s="29">
        <v>4.5</v>
      </c>
      <c r="E60" s="31">
        <v>-4.5500360000000004</v>
      </c>
      <c r="F60" s="3">
        <v>-1.2799149999999999</v>
      </c>
      <c r="G60" s="3">
        <v>2.7998012999999999</v>
      </c>
      <c r="H60" s="3">
        <v>-1.6335073</v>
      </c>
      <c r="I60" s="3">
        <v>-5.8517469999999996</v>
      </c>
      <c r="J60" s="3">
        <v>-5.9925639999999998</v>
      </c>
    </row>
    <row r="61" spans="4:18" ht="16" x14ac:dyDescent="0.2">
      <c r="D61" s="29">
        <v>5.5</v>
      </c>
      <c r="E61" s="31">
        <v>-5.5611550000000003</v>
      </c>
      <c r="F61" s="3">
        <v>-1.5643404999999999</v>
      </c>
      <c r="G61" s="3">
        <v>3.4219794000000001</v>
      </c>
      <c r="H61" s="3">
        <v>-1.9965089</v>
      </c>
      <c r="I61" s="3">
        <v>-7.1521350000000004</v>
      </c>
      <c r="J61" s="3">
        <v>-7.3242450000000003</v>
      </c>
    </row>
    <row r="62" spans="4:18" ht="16" x14ac:dyDescent="0.2">
      <c r="D62" s="29">
        <v>6.5</v>
      </c>
      <c r="E62" s="31">
        <v>-6.5722740000000002</v>
      </c>
      <c r="F62" s="3">
        <v>-1.8487661</v>
      </c>
      <c r="G62" s="3">
        <v>4.0441573999999996</v>
      </c>
      <c r="H62" s="3">
        <v>-2.3595104999999998</v>
      </c>
      <c r="I62" s="3">
        <v>-8.4525229999999993</v>
      </c>
      <c r="J62" s="3">
        <v>-8.6559259999999991</v>
      </c>
    </row>
    <row r="68" spans="5:5" x14ac:dyDescent="0.2">
      <c r="E68" s="29"/>
    </row>
    <row r="69" spans="5:5" x14ac:dyDescent="0.2">
      <c r="E69" s="29"/>
    </row>
    <row r="70" spans="5:5" x14ac:dyDescent="0.2">
      <c r="E70" s="29"/>
    </row>
    <row r="71" spans="5:5" x14ac:dyDescent="0.2">
      <c r="E71" s="29"/>
    </row>
    <row r="72" spans="5:5" x14ac:dyDescent="0.2">
      <c r="E72" s="29"/>
    </row>
    <row r="73" spans="5:5" x14ac:dyDescent="0.2">
      <c r="E73" s="29"/>
    </row>
    <row r="77" spans="5:5" x14ac:dyDescent="0.2">
      <c r="E77" s="29"/>
    </row>
    <row r="78" spans="5:5" x14ac:dyDescent="0.2">
      <c r="E78" s="29"/>
    </row>
    <row r="79" spans="5:5" x14ac:dyDescent="0.2">
      <c r="E79" s="29"/>
    </row>
    <row r="80" spans="5:5" x14ac:dyDescent="0.2">
      <c r="E80" s="29"/>
    </row>
    <row r="81" spans="5:5" x14ac:dyDescent="0.2">
      <c r="E81" s="29"/>
    </row>
    <row r="82" spans="5:5" x14ac:dyDescent="0.2">
      <c r="E82" s="29"/>
    </row>
  </sheetData>
  <mergeCells count="7">
    <mergeCell ref="E1:J1"/>
    <mergeCell ref="Q1:R1"/>
    <mergeCell ref="A7:A9"/>
    <mergeCell ref="A30:A32"/>
    <mergeCell ref="A13:A15"/>
    <mergeCell ref="L1:O1"/>
    <mergeCell ref="A19:A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9A6B-2AC9-2248-929B-9FD58D2BE8EA}">
  <dimension ref="A1"/>
  <sheetViews>
    <sheetView zoomScale="90" workbookViewId="0">
      <selection activeCell="U16" sqref="U16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86EE-5BF0-4046-9689-F584354080F1}">
  <dimension ref="A1:C7"/>
  <sheetViews>
    <sheetView zoomScale="162" workbookViewId="0">
      <selection activeCell="A3" sqref="A3"/>
    </sheetView>
  </sheetViews>
  <sheetFormatPr baseColWidth="10" defaultRowHeight="15" x14ac:dyDescent="0.2"/>
  <cols>
    <col min="1" max="1" width="87.33203125" customWidth="1"/>
  </cols>
  <sheetData>
    <row r="1" spans="1:3" ht="34" x14ac:dyDescent="0.2">
      <c r="B1" s="3" t="s">
        <v>133</v>
      </c>
      <c r="C1" s="3" t="s">
        <v>134</v>
      </c>
    </row>
    <row r="2" spans="1:3" ht="16" x14ac:dyDescent="0.2">
      <c r="A2" s="6" t="s">
        <v>140</v>
      </c>
      <c r="B2">
        <v>0.61</v>
      </c>
    </row>
    <row r="3" spans="1:3" ht="16" x14ac:dyDescent="0.2">
      <c r="A3" s="6" t="s">
        <v>141</v>
      </c>
      <c r="B3">
        <v>0.93</v>
      </c>
    </row>
    <row r="4" spans="1:3" ht="16" x14ac:dyDescent="0.2">
      <c r="A4" s="6" t="s">
        <v>142</v>
      </c>
      <c r="B4">
        <v>0.77</v>
      </c>
    </row>
    <row r="5" spans="1:3" ht="16" x14ac:dyDescent="0.2">
      <c r="A5" s="6" t="s">
        <v>143</v>
      </c>
      <c r="C5">
        <v>0.68</v>
      </c>
    </row>
    <row r="6" spans="1:3" ht="16" x14ac:dyDescent="0.2">
      <c r="A6" s="6" t="s">
        <v>144</v>
      </c>
      <c r="C6">
        <v>0.55000000000000004</v>
      </c>
    </row>
    <row r="7" spans="1:3" ht="16" x14ac:dyDescent="0.2">
      <c r="A7" s="6" t="s">
        <v>145</v>
      </c>
      <c r="C7">
        <v>0.66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C43B-6ECD-E74B-A3D0-7FC54043750A}">
  <dimension ref="A1:B43"/>
  <sheetViews>
    <sheetView topLeftCell="A20" zoomScale="141" workbookViewId="0">
      <selection activeCell="B34" sqref="B34"/>
    </sheetView>
  </sheetViews>
  <sheetFormatPr baseColWidth="10" defaultRowHeight="15" x14ac:dyDescent="0.2"/>
  <cols>
    <col min="1" max="1" width="25" customWidth="1"/>
    <col min="2" max="2" width="84.83203125" customWidth="1"/>
  </cols>
  <sheetData>
    <row r="1" spans="1:2" hidden="1" x14ac:dyDescent="0.2">
      <c r="A1" s="50" t="s">
        <v>191</v>
      </c>
      <c r="B1" s="51"/>
    </row>
    <row r="2" spans="1:2" ht="16" hidden="1" x14ac:dyDescent="0.2">
      <c r="A2" s="52" t="s">
        <v>192</v>
      </c>
      <c r="B2" s="52" t="s">
        <v>193</v>
      </c>
    </row>
    <row r="3" spans="1:2" ht="16" hidden="1" x14ac:dyDescent="0.2">
      <c r="A3" s="53" t="s">
        <v>194</v>
      </c>
      <c r="B3" s="53" t="s">
        <v>195</v>
      </c>
    </row>
    <row r="4" spans="1:2" ht="16" hidden="1" x14ac:dyDescent="0.2">
      <c r="A4" s="53" t="s">
        <v>196</v>
      </c>
      <c r="B4" s="53" t="s">
        <v>197</v>
      </c>
    </row>
    <row r="5" spans="1:2" ht="16" hidden="1" x14ac:dyDescent="0.2">
      <c r="A5" s="54" t="s">
        <v>198</v>
      </c>
      <c r="B5" s="53" t="s">
        <v>199</v>
      </c>
    </row>
    <row r="6" spans="1:2" ht="16" hidden="1" x14ac:dyDescent="0.2">
      <c r="A6" s="54"/>
      <c r="B6" s="53" t="s">
        <v>200</v>
      </c>
    </row>
    <row r="7" spans="1:2" ht="16" hidden="1" x14ac:dyDescent="0.2">
      <c r="A7" s="54"/>
      <c r="B7" s="53" t="s">
        <v>201</v>
      </c>
    </row>
    <row r="8" spans="1:2" ht="16" hidden="1" x14ac:dyDescent="0.2">
      <c r="A8" s="53" t="s">
        <v>202</v>
      </c>
      <c r="B8" s="53" t="s">
        <v>204</v>
      </c>
    </row>
    <row r="9" spans="1:2" ht="16" hidden="1" x14ac:dyDescent="0.2">
      <c r="A9" s="53" t="s">
        <v>203</v>
      </c>
      <c r="B9" s="53" t="s">
        <v>205</v>
      </c>
    </row>
    <row r="20" spans="1:1" ht="24" x14ac:dyDescent="0.3">
      <c r="A20" s="58" t="s">
        <v>218</v>
      </c>
    </row>
    <row r="21" spans="1:1" ht="16" x14ac:dyDescent="0.2">
      <c r="A21" s="56" t="s">
        <v>211</v>
      </c>
    </row>
    <row r="22" spans="1:1" ht="16" x14ac:dyDescent="0.2">
      <c r="A22" s="55"/>
    </row>
    <row r="23" spans="1:1" x14ac:dyDescent="0.2">
      <c r="A23" s="57" t="s">
        <v>206</v>
      </c>
    </row>
    <row r="24" spans="1:1" ht="16" x14ac:dyDescent="0.2">
      <c r="A24" s="55" t="s">
        <v>207</v>
      </c>
    </row>
    <row r="25" spans="1:1" x14ac:dyDescent="0.2">
      <c r="A25" s="8"/>
    </row>
    <row r="26" spans="1:1" x14ac:dyDescent="0.2">
      <c r="A26" s="57" t="s">
        <v>208</v>
      </c>
    </row>
    <row r="27" spans="1:1" x14ac:dyDescent="0.2">
      <c r="A27" s="8" t="s">
        <v>209</v>
      </c>
    </row>
    <row r="29" spans="1:1" x14ac:dyDescent="0.2">
      <c r="A29" s="57" t="s">
        <v>214</v>
      </c>
    </row>
    <row r="30" spans="1:1" x14ac:dyDescent="0.2">
      <c r="A30" s="8" t="s">
        <v>215</v>
      </c>
    </row>
    <row r="34" spans="1:1" ht="24" x14ac:dyDescent="0.3">
      <c r="A34" s="59" t="s">
        <v>210</v>
      </c>
    </row>
    <row r="35" spans="1:1" ht="16" x14ac:dyDescent="0.2">
      <c r="A35" s="60" t="s">
        <v>213</v>
      </c>
    </row>
    <row r="36" spans="1:1" x14ac:dyDescent="0.2">
      <c r="A36" s="63" t="s">
        <v>220</v>
      </c>
    </row>
    <row r="37" spans="1:1" x14ac:dyDescent="0.2">
      <c r="A37" s="63" t="s">
        <v>219</v>
      </c>
    </row>
    <row r="38" spans="1:1" x14ac:dyDescent="0.2">
      <c r="A38" s="61" t="s">
        <v>216</v>
      </c>
    </row>
    <row r="39" spans="1:1" x14ac:dyDescent="0.2">
      <c r="A39" s="61" t="s">
        <v>217</v>
      </c>
    </row>
    <row r="43" spans="1:1" x14ac:dyDescent="0.2">
      <c r="A43" s="61"/>
    </row>
  </sheetData>
  <mergeCells count="1">
    <mergeCell ref="A5:A7"/>
  </mergeCells>
  <hyperlinks>
    <hyperlink ref="A1" r:id="rId1" location="heading=h.u42d4sobze1t" display="https://docs.google.com/document/d/1rwLltA02OP2pBjvABgdsFmHVDRcBrc71jzDeoayDKkM/edit - heading=h.u42d4sobze1t" xr:uid="{2CFED055-E9F1-5C43-9EC0-FF1D4AC5550B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coef_fit</vt:lpstr>
      <vt:lpstr>WTP_interpretation</vt:lpstr>
      <vt:lpstr>price sensitivity</vt:lpstr>
      <vt:lpstr>Factor_analysis</vt:lpstr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Iogansen, Xiatian (Assoc)</cp:lastModifiedBy>
  <dcterms:created xsi:type="dcterms:W3CDTF">2025-11-12T07:33:53Z</dcterms:created>
  <dcterms:modified xsi:type="dcterms:W3CDTF">2025-11-20T15:38:54Z</dcterms:modified>
</cp:coreProperties>
</file>