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nw17/Documents/GitHub/Conjoint_Survey_25/code/dynata_prolific_joint/"/>
    </mc:Choice>
  </mc:AlternateContent>
  <xr:revisionPtr revIDLastSave="0" documentId="13_ncr:1_{7A1F3C5C-739E-9A44-9B43-948139780008}" xr6:coauthVersionLast="47" xr6:coauthVersionMax="47" xr10:uidLastSave="{00000000-0000-0000-0000-000000000000}"/>
  <bookViews>
    <workbookView xWindow="3560" yWindow="3820" windowWidth="31300" windowHeight="13120" activeTab="4" xr2:uid="{00000000-000D-0000-FFFF-FFFF00000000}"/>
  </bookViews>
  <sheets>
    <sheet name="dynata_prolific" sheetId="5" r:id="rId1"/>
    <sheet name="data_source_interact" sheetId="6" r:id="rId2"/>
    <sheet name="grouping" sheetId="7" r:id="rId3"/>
    <sheet name="WTP model" sheetId="1" r:id="rId4"/>
    <sheet name="WTP summary" sheetId="8" r:id="rId5"/>
    <sheet name="Sheet1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8" l="1"/>
  <c r="E15" i="8"/>
  <c r="F15" i="8"/>
  <c r="G15" i="8"/>
  <c r="H15" i="8"/>
  <c r="C15" i="8"/>
  <c r="D14" i="8"/>
  <c r="E14" i="8"/>
  <c r="F14" i="8"/>
  <c r="G14" i="8"/>
  <c r="H14" i="8"/>
  <c r="C14" i="8"/>
  <c r="D13" i="8"/>
  <c r="E13" i="8"/>
  <c r="F13" i="8"/>
  <c r="G13" i="8"/>
  <c r="H13" i="8"/>
  <c r="C13" i="8"/>
  <c r="C9" i="7"/>
  <c r="D9" i="7"/>
  <c r="D8" i="7"/>
  <c r="C8" i="7"/>
  <c r="P45" i="1"/>
  <c r="I45" i="1"/>
  <c r="B45" i="1"/>
  <c r="P22" i="1"/>
  <c r="I22" i="1"/>
  <c r="B23" i="6"/>
  <c r="I22" i="5"/>
  <c r="B22" i="5"/>
  <c r="B22" i="1"/>
</calcChain>
</file>

<file path=xl/sharedStrings.xml><?xml version="1.0" encoding="utf-8"?>
<sst xmlns="http://schemas.openxmlformats.org/spreadsheetml/2006/main" count="386" uniqueCount="75">
  <si>
    <t>***</t>
  </si>
  <si>
    <t>.</t>
  </si>
  <si>
    <t xml:space="preserve"> </t>
  </si>
  <si>
    <t>**</t>
  </si>
  <si>
    <t>*</t>
  </si>
  <si>
    <t>no choice</t>
  </si>
  <si>
    <t>mileage</t>
  </si>
  <si>
    <t>10,000 miles on the odometer</t>
  </si>
  <si>
    <t>100 miles of battery range</t>
  </si>
  <si>
    <t>powertrainbev</t>
  </si>
  <si>
    <t>powertrainhev</t>
  </si>
  <si>
    <t>range_bev</t>
  </si>
  <si>
    <t>age</t>
  </si>
  <si>
    <t>operating_cost</t>
  </si>
  <si>
    <t>one cent per mile</t>
  </si>
  <si>
    <t>one year</t>
  </si>
  <si>
    <t>---</t>
  </si>
  <si>
    <t xml:space="preserve">                                     </t>
  </si>
  <si>
    <t>Estimate</t>
  </si>
  <si>
    <t>Std. Error</t>
  </si>
  <si>
    <t>z-value</t>
  </si>
  <si>
    <t>Pr(&gt;|z|)</t>
  </si>
  <si>
    <t>scalePar</t>
  </si>
  <si>
    <t>&lt; 2.2e-16</t>
  </si>
  <si>
    <t>no_choice</t>
  </si>
  <si>
    <t>Log-Likelihood</t>
  </si>
  <si>
    <t>Null Log-Likelihood</t>
  </si>
  <si>
    <t>AIC</t>
  </si>
  <si>
    <t>BIC</t>
  </si>
  <si>
    <t>McFadden R2</t>
  </si>
  <si>
    <t>Adj McFadden R2</t>
  </si>
  <si>
    <t>Number of Observations</t>
  </si>
  <si>
    <t>Number of Respondents</t>
  </si>
  <si>
    <t>Model Coefficients</t>
  </si>
  <si>
    <t>Signif. codes</t>
  </si>
  <si>
    <t xml:space="preserve">  0 ‘***’ 0.001 ‘**’ 0.01 ‘*’ 0.05 ‘.’ 0.1 ‘ ’ 1</t>
  </si>
  <si>
    <t>Dynata</t>
  </si>
  <si>
    <t>price</t>
  </si>
  <si>
    <t>price_dynata</t>
  </si>
  <si>
    <t>bev_dynata</t>
  </si>
  <si>
    <t>Prolific</t>
  </si>
  <si>
    <r>
      <t xml:space="preserve">Dynata respondents are </t>
    </r>
    <r>
      <rPr>
        <b/>
        <sz val="11"/>
        <color rgb="FFFF0000"/>
        <rFont val=".AppleSystemUIFont"/>
      </rPr>
      <t>more price-sensitive</t>
    </r>
    <r>
      <rPr>
        <sz val="11"/>
        <color rgb="FFFF0000"/>
        <rFont val=".AppleSystemUIFont"/>
      </rPr>
      <t xml:space="preserve"> than prolific  group.</t>
    </r>
  </si>
  <si>
    <r>
      <t xml:space="preserve">Dynata respondents have a </t>
    </r>
    <r>
      <rPr>
        <b/>
        <sz val="11"/>
        <color rgb="FFFF0000"/>
        <rFont val=".AppleSystemUIFont"/>
      </rPr>
      <t>lower preference for BEVs</t>
    </r>
    <r>
      <rPr>
        <sz val="11"/>
        <color rgb="FFFF0000"/>
        <rFont val=".AppleSystemUIFont"/>
      </rPr>
      <t xml:space="preserve"> than prolific group.</t>
    </r>
  </si>
  <si>
    <t>CAR</t>
  </si>
  <si>
    <t>CAR all</t>
  </si>
  <si>
    <t>CAR low budget</t>
  </si>
  <si>
    <t>CAR high budget</t>
  </si>
  <si>
    <t xml:space="preserve">                                    </t>
  </si>
  <si>
    <t>SUV all</t>
  </si>
  <si>
    <t>SUV low budget</t>
  </si>
  <si>
    <t>SUV high budget</t>
  </si>
  <si>
    <t>Vehicle Type</t>
  </si>
  <si>
    <t>SUV</t>
  </si>
  <si>
    <t>Budget</t>
  </si>
  <si>
    <t>Low (&lt;=20K)</t>
  </si>
  <si>
    <t>High (&gt;20K)</t>
  </si>
  <si>
    <t>Car</t>
  </si>
  <si>
    <t>Parameters</t>
  </si>
  <si>
    <t>Combined</t>
  </si>
  <si>
    <t>Low-budget</t>
  </si>
  <si>
    <t>High-budget</t>
  </si>
  <si>
    <t># of responents</t>
  </si>
  <si>
    <t>WTP (unit: $10,000)</t>
  </si>
  <si>
    <t>Key findings</t>
  </si>
  <si>
    <t>•	The no-choice option has large negative WTP across all segments.
•	The disutility is stronger for SUVs than cars, particularly among high-budget SUV buyers (−7.26).</t>
  </si>
  <si>
    <t xml:space="preserve">	•	Each 10,000 miles on the odometer reduces WTP across all segments.
	•	The penalty is larger for SUVs, especially among high-budget buyers (−0.37).</t>
  </si>
  <si>
    <t xml:space="preserve">	•	Each additional year of vehicle age lowers WTP.
	•	The effect is again stronger for SUVs and high-budget segments.</t>
  </si>
  <si>
    <t>A one-cent increase per mile in operating cost leads to large WTP reductions</t>
  </si>
  <si>
    <t xml:space="preserve">	•	Both BEV and HEV powertrains show negative WTP relative to ICEV.
•	The penalty is larger for SUVs than cars, especially for BEVs.</t>
  </si>
  <si>
    <t>•WTP for 100 additional miles of BEV range is positive and substantial</t>
  </si>
  <si>
    <t>insignificant at 5%</t>
  </si>
  <si>
    <t>*From 2023 vehicle survey: the median range among these vehicles is 256miles, with over 80% falling between 200 miles and 350 miles.</t>
  </si>
  <si>
    <t>*a bev with 200 miles range</t>
  </si>
  <si>
    <t>*a bev with 350 miles range</t>
  </si>
  <si>
    <t>*a bev with 250 miles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</si>
</sst>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indexed="8"/>
      <name val="Aptos Narrow"/>
      <scheme val="minor"/>
    </font>
    <font>
      <b/>
      <sz val="11"/>
      <color indexed="8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Lucida Grande"/>
      <family val="2"/>
    </font>
    <font>
      <sz val="11"/>
      <color theme="1"/>
      <name val="Lucida Grande"/>
      <family val="2"/>
    </font>
    <font>
      <sz val="16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.AppleSystemUIFont"/>
    </font>
    <font>
      <b/>
      <sz val="11"/>
      <color rgb="FFFF0000"/>
      <name val=".AppleSystemUIFont"/>
    </font>
    <font>
      <b/>
      <sz val="16"/>
      <color indexed="8"/>
      <name val="Aptos Narrow"/>
      <scheme val="minor"/>
    </font>
    <font>
      <i/>
      <sz val="11"/>
      <color theme="1"/>
      <name val="Aptos Narrow"/>
      <scheme val="minor"/>
    </font>
    <font>
      <b/>
      <sz val="11"/>
      <name val="Aptos Narrow"/>
      <scheme val="minor"/>
    </font>
    <font>
      <b/>
      <sz val="11"/>
      <color theme="4"/>
      <name val="Aptos Narrow"/>
      <scheme val="minor"/>
    </font>
    <font>
      <i/>
      <sz val="11"/>
      <color theme="4"/>
      <name val="Aptos Narrow"/>
      <scheme val="minor"/>
    </font>
    <font>
      <sz val="11"/>
      <color theme="4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wrapText="1"/>
    </xf>
    <xf numFmtId="2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2" fontId="8" fillId="2" borderId="0" xfId="0" applyNumberFormat="1" applyFont="1" applyFill="1"/>
    <xf numFmtId="0" fontId="9" fillId="0" borderId="0" xfId="0" applyFont="1"/>
    <xf numFmtId="0" fontId="10" fillId="0" borderId="0" xfId="0" applyFont="1"/>
    <xf numFmtId="0" fontId="0" fillId="0" borderId="1" xfId="0" applyBorder="1"/>
    <xf numFmtId="9" fontId="0" fillId="0" borderId="1" xfId="1" applyFont="1" applyBorder="1"/>
    <xf numFmtId="2" fontId="12" fillId="2" borderId="0" xfId="0" applyNumberFormat="1" applyFont="1" applyFill="1"/>
    <xf numFmtId="2" fontId="0" fillId="2" borderId="0" xfId="0" applyNumberFormat="1" applyFill="1"/>
    <xf numFmtId="2" fontId="2" fillId="0" borderId="0" xfId="0" applyNumberFormat="1" applyFont="1" applyAlignment="1">
      <alignment wrapText="1"/>
    </xf>
    <xf numFmtId="2" fontId="13" fillId="0" borderId="0" xfId="0" applyNumberFormat="1" applyFont="1" applyAlignment="1">
      <alignment wrapText="1"/>
    </xf>
    <xf numFmtId="0" fontId="14" fillId="0" borderId="0" xfId="0" applyFont="1"/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2" fontId="13" fillId="0" borderId="3" xfId="0" applyNumberFormat="1" applyFont="1" applyBorder="1" applyAlignment="1">
      <alignment wrapText="1"/>
    </xf>
    <xf numFmtId="0" fontId="3" fillId="3" borderId="0" xfId="0" applyFont="1" applyFill="1"/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164" fontId="3" fillId="0" borderId="3" xfId="0" applyNumberFormat="1" applyFont="1" applyBorder="1"/>
    <xf numFmtId="0" fontId="15" fillId="0" borderId="0" xfId="0" applyFont="1"/>
    <xf numFmtId="0" fontId="16" fillId="0" borderId="0" xfId="0" applyFont="1" applyAlignment="1">
      <alignment wrapText="1"/>
    </xf>
    <xf numFmtId="164" fontId="17" fillId="0" borderId="0" xfId="0" applyNumberFormat="1" applyFont="1"/>
    <xf numFmtId="2" fontId="16" fillId="0" borderId="0" xfId="0" applyNumberFormat="1" applyFont="1" applyAlignment="1">
      <alignment wrapText="1"/>
    </xf>
    <xf numFmtId="0" fontId="17" fillId="0" borderId="0" xfId="0" applyFont="1"/>
    <xf numFmtId="0" fontId="17" fillId="0" borderId="0" xfId="0" applyFont="1" applyAlignment="1">
      <alignment horizontal="left"/>
    </xf>
    <xf numFmtId="164" fontId="4" fillId="0" borderId="8" xfId="0" applyNumberFormat="1" applyFont="1" applyBorder="1"/>
    <xf numFmtId="164" fontId="4" fillId="0" borderId="0" xfId="0" applyNumberFormat="1" applyFont="1"/>
    <xf numFmtId="164" fontId="4" fillId="0" borderId="2" xfId="0" applyNumberFormat="1" applyFont="1" applyBorder="1"/>
    <xf numFmtId="164" fontId="3" fillId="0" borderId="9" xfId="0" applyNumberFormat="1" applyFont="1" applyBorder="1"/>
    <xf numFmtId="164" fontId="3" fillId="0" borderId="4" xfId="0" applyNumberFormat="1" applyFont="1" applyBorder="1"/>
    <xf numFmtId="164" fontId="3" fillId="0" borderId="8" xfId="0" applyNumberFormat="1" applyFont="1" applyBorder="1"/>
    <xf numFmtId="164" fontId="3" fillId="0" borderId="2" xfId="0" applyNumberFormat="1" applyFont="1" applyBorder="1"/>
    <xf numFmtId="164" fontId="17" fillId="0" borderId="8" xfId="0" applyNumberFormat="1" applyFont="1" applyBorder="1"/>
    <xf numFmtId="164" fontId="17" fillId="0" borderId="2" xfId="0" applyNumberFormat="1" applyFont="1" applyBorder="1"/>
    <xf numFmtId="164" fontId="3" fillId="3" borderId="2" xfId="0" applyNumberFormat="1" applyFont="1" applyFill="1" applyBorder="1"/>
    <xf numFmtId="164" fontId="17" fillId="3" borderId="0" xfId="0" applyNumberFormat="1" applyFont="1" applyFill="1"/>
    <xf numFmtId="164" fontId="17" fillId="3" borderId="2" xfId="0" applyNumberFormat="1" applyFont="1" applyFill="1" applyBorder="1"/>
    <xf numFmtId="1" fontId="3" fillId="0" borderId="9" xfId="0" applyNumberFormat="1" applyFont="1" applyBorder="1"/>
    <xf numFmtId="1" fontId="3" fillId="0" borderId="3" xfId="0" applyNumberFormat="1" applyFont="1" applyBorder="1"/>
    <xf numFmtId="1" fontId="3" fillId="0" borderId="4" xfId="0" applyNumberFormat="1" applyFont="1" applyBorder="1"/>
    <xf numFmtId="1" fontId="13" fillId="0" borderId="9" xfId="0" applyNumberFormat="1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1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6B581-6348-7A4E-AEE6-D1B659507A84}">
  <dimension ref="A1:M22"/>
  <sheetViews>
    <sheetView zoomScale="142" workbookViewId="0">
      <selection activeCell="E26" sqref="E26"/>
    </sheetView>
  </sheetViews>
  <sheetFormatPr baseColWidth="10" defaultRowHeight="15"/>
  <cols>
    <col min="1" max="1" width="17" style="5" customWidth="1"/>
    <col min="2" max="7" width="10.83203125" style="5"/>
    <col min="8" max="8" width="18.83203125" style="5" customWidth="1"/>
    <col min="9" max="16384" width="10.83203125" style="5"/>
  </cols>
  <sheetData>
    <row r="1" spans="1:13" ht="22">
      <c r="A1" s="9" t="s">
        <v>36</v>
      </c>
      <c r="H1" s="9" t="s">
        <v>40</v>
      </c>
    </row>
    <row r="2" spans="1:13">
      <c r="A2" s="5" t="s">
        <v>33</v>
      </c>
      <c r="B2" s="5" t="s">
        <v>2</v>
      </c>
      <c r="H2" s="5" t="s">
        <v>33</v>
      </c>
      <c r="I2" s="5" t="s">
        <v>2</v>
      </c>
    </row>
    <row r="3" spans="1:13">
      <c r="B3" s="5" t="s">
        <v>18</v>
      </c>
      <c r="C3" s="5" t="s">
        <v>19</v>
      </c>
      <c r="D3" s="5" t="s">
        <v>20</v>
      </c>
      <c r="E3" s="5" t="s">
        <v>21</v>
      </c>
      <c r="I3" s="5" t="s">
        <v>18</v>
      </c>
      <c r="J3" s="5" t="s">
        <v>19</v>
      </c>
      <c r="K3" s="5" t="s">
        <v>20</v>
      </c>
      <c r="L3" s="5" t="s">
        <v>21</v>
      </c>
    </row>
    <row r="4" spans="1:13">
      <c r="A4" s="5" t="s">
        <v>22</v>
      </c>
      <c r="B4" s="5">
        <v>0.58558299999999996</v>
      </c>
      <c r="C4" s="5">
        <v>5.1068000000000002E-2</v>
      </c>
      <c r="D4" s="5">
        <v>11.466699999999999</v>
      </c>
      <c r="E4" s="5" t="s">
        <v>23</v>
      </c>
      <c r="F4" s="5" t="s">
        <v>0</v>
      </c>
      <c r="H4" s="5" t="s">
        <v>22</v>
      </c>
      <c r="I4" s="5">
        <v>0.80879900000000005</v>
      </c>
      <c r="J4" s="5">
        <v>4.5804999999999998E-2</v>
      </c>
      <c r="K4" s="5">
        <v>17.657399999999999</v>
      </c>
      <c r="L4" s="5" t="s">
        <v>23</v>
      </c>
      <c r="M4" s="5" t="s">
        <v>0</v>
      </c>
    </row>
    <row r="5" spans="1:13">
      <c r="A5" s="5" t="s">
        <v>6</v>
      </c>
      <c r="B5" s="5">
        <v>-0.26772499999999999</v>
      </c>
      <c r="C5" s="5">
        <v>5.0362999999999998E-2</v>
      </c>
      <c r="D5" s="5">
        <v>-5.3159000000000001</v>
      </c>
      <c r="E5" s="5">
        <v>1.061E-7</v>
      </c>
      <c r="F5" s="5" t="s">
        <v>0</v>
      </c>
      <c r="H5" s="5" t="s">
        <v>6</v>
      </c>
      <c r="I5" s="5">
        <v>-0.30818699999999999</v>
      </c>
      <c r="J5" s="5">
        <v>3.1344999999999998E-2</v>
      </c>
      <c r="K5" s="5">
        <v>-9.8320000000000007</v>
      </c>
      <c r="L5" s="5" t="s">
        <v>23</v>
      </c>
      <c r="M5" s="5" t="s">
        <v>0</v>
      </c>
    </row>
    <row r="6" spans="1:13">
      <c r="A6" s="5" t="s">
        <v>12</v>
      </c>
      <c r="B6" s="5">
        <v>-0.15253800000000001</v>
      </c>
      <c r="C6" s="5">
        <v>2.8433E-2</v>
      </c>
      <c r="D6" s="5">
        <v>-5.3648999999999996</v>
      </c>
      <c r="E6" s="5">
        <v>8.0999999999999997E-8</v>
      </c>
      <c r="F6" s="5" t="s">
        <v>0</v>
      </c>
      <c r="H6" s="5" t="s">
        <v>12</v>
      </c>
      <c r="I6" s="5">
        <v>-0.124247</v>
      </c>
      <c r="J6" s="5">
        <v>1.6427000000000001E-2</v>
      </c>
      <c r="K6" s="5">
        <v>-7.5635000000000003</v>
      </c>
      <c r="L6" s="5">
        <v>3.93E-14</v>
      </c>
      <c r="M6" s="5" t="s">
        <v>0</v>
      </c>
    </row>
    <row r="7" spans="1:13">
      <c r="A7" s="5" t="s">
        <v>11</v>
      </c>
      <c r="B7" s="5">
        <v>0.36941400000000002</v>
      </c>
      <c r="C7" s="5">
        <v>0.157471</v>
      </c>
      <c r="D7" s="5">
        <v>2.3458999999999999</v>
      </c>
      <c r="E7" s="5">
        <v>1.898E-2</v>
      </c>
      <c r="F7" s="5" t="s">
        <v>4</v>
      </c>
      <c r="H7" s="5" t="s">
        <v>11</v>
      </c>
      <c r="I7" s="5">
        <v>0.47666599999999998</v>
      </c>
      <c r="J7" s="5">
        <v>8.4633E-2</v>
      </c>
      <c r="K7" s="5">
        <v>5.6321000000000003</v>
      </c>
      <c r="L7" s="5">
        <v>1.7800000000000001E-8</v>
      </c>
      <c r="M7" s="5" t="s">
        <v>0</v>
      </c>
    </row>
    <row r="8" spans="1:13">
      <c r="A8" s="5" t="s">
        <v>13</v>
      </c>
      <c r="B8" s="5">
        <v>-0.748587</v>
      </c>
      <c r="C8" s="5">
        <v>0.18149899999999999</v>
      </c>
      <c r="D8" s="5">
        <v>-4.1245000000000003</v>
      </c>
      <c r="E8" s="5">
        <v>3.7160000000000003E-5</v>
      </c>
      <c r="F8" s="5" t="s">
        <v>0</v>
      </c>
      <c r="H8" s="5" t="s">
        <v>13</v>
      </c>
      <c r="I8" s="5">
        <v>-0.771729</v>
      </c>
      <c r="J8" s="5">
        <v>0.11064499999999999</v>
      </c>
      <c r="K8" s="5">
        <v>-6.9748000000000001</v>
      </c>
      <c r="L8" s="5">
        <v>3.0630000000000002E-12</v>
      </c>
      <c r="M8" s="5" t="s">
        <v>0</v>
      </c>
    </row>
    <row r="9" spans="1:13">
      <c r="A9" s="5" t="s">
        <v>9</v>
      </c>
      <c r="B9" s="5">
        <v>-3.511091</v>
      </c>
      <c r="C9" s="5">
        <v>0.44593899999999997</v>
      </c>
      <c r="D9" s="5">
        <v>-7.8734999999999999</v>
      </c>
      <c r="E9" s="5">
        <v>3.5529999999999999E-15</v>
      </c>
      <c r="F9" s="5" t="s">
        <v>0</v>
      </c>
      <c r="H9" s="5" t="s">
        <v>9</v>
      </c>
      <c r="I9" s="5">
        <v>-2.2930869999999999</v>
      </c>
      <c r="J9" s="5">
        <v>0.227522</v>
      </c>
      <c r="K9" s="5">
        <v>-10.0785</v>
      </c>
      <c r="L9" s="5" t="s">
        <v>23</v>
      </c>
      <c r="M9" s="5" t="s">
        <v>0</v>
      </c>
    </row>
    <row r="10" spans="1:13">
      <c r="A10" s="5" t="s">
        <v>10</v>
      </c>
      <c r="B10" s="5">
        <v>-0.90236000000000005</v>
      </c>
      <c r="C10" s="5">
        <v>0.15495300000000001</v>
      </c>
      <c r="D10" s="5">
        <v>-5.8234000000000004</v>
      </c>
      <c r="E10" s="5">
        <v>5.7649999999999998E-9</v>
      </c>
      <c r="F10" s="5" t="s">
        <v>0</v>
      </c>
      <c r="H10" s="5" t="s">
        <v>10</v>
      </c>
      <c r="I10" s="5">
        <v>-1.9977999999999999E-2</v>
      </c>
      <c r="J10" s="5">
        <v>8.2475999999999994E-2</v>
      </c>
      <c r="K10" s="5">
        <v>-0.2422</v>
      </c>
      <c r="L10" s="5">
        <v>0.80859999999999999</v>
      </c>
    </row>
    <row r="11" spans="1:13">
      <c r="A11" s="5" t="s">
        <v>24</v>
      </c>
      <c r="B11" s="5">
        <v>-6.766591</v>
      </c>
      <c r="C11" s="5">
        <v>0.483904</v>
      </c>
      <c r="D11" s="5">
        <v>-13.9833</v>
      </c>
      <c r="E11" s="5" t="s">
        <v>23</v>
      </c>
      <c r="F11" s="5" t="s">
        <v>0</v>
      </c>
      <c r="H11" s="5" t="s">
        <v>24</v>
      </c>
      <c r="I11" s="5">
        <v>-6.6577739999999999</v>
      </c>
      <c r="J11" s="5">
        <v>0.30119499999999999</v>
      </c>
      <c r="K11" s="5">
        <v>-22.104500000000002</v>
      </c>
      <c r="L11" s="5" t="s">
        <v>23</v>
      </c>
      <c r="M11" s="5" t="s">
        <v>0</v>
      </c>
    </row>
    <row r="12" spans="1:13">
      <c r="A12" s="5" t="s">
        <v>16</v>
      </c>
      <c r="H12" s="5" t="s">
        <v>16</v>
      </c>
    </row>
    <row r="13" spans="1:13">
      <c r="A13" s="5" t="s">
        <v>34</v>
      </c>
      <c r="B13" s="5" t="s">
        <v>35</v>
      </c>
      <c r="H13" s="5" t="s">
        <v>34</v>
      </c>
      <c r="I13" s="5" t="s">
        <v>35</v>
      </c>
    </row>
    <row r="14" spans="1:13">
      <c r="A14" s="5" t="s">
        <v>17</v>
      </c>
      <c r="H14" s="5" t="s">
        <v>17</v>
      </c>
    </row>
    <row r="15" spans="1:13">
      <c r="A15" s="5" t="s">
        <v>25</v>
      </c>
      <c r="B15" s="5">
        <v>-2075.4260432999999</v>
      </c>
      <c r="H15" s="5" t="s">
        <v>25</v>
      </c>
      <c r="I15" s="5">
        <v>-2836.2518986999999</v>
      </c>
    </row>
    <row r="16" spans="1:13">
      <c r="A16" s="5" t="s">
        <v>26</v>
      </c>
      <c r="B16" s="5">
        <v>-2337.2922927999998</v>
      </c>
      <c r="H16" s="5" t="s">
        <v>26</v>
      </c>
      <c r="I16" s="5">
        <v>-3343.7419989999999</v>
      </c>
    </row>
    <row r="17" spans="1:9">
      <c r="A17" s="5" t="s">
        <v>27</v>
      </c>
      <c r="B17" s="5">
        <v>4166.8520866999997</v>
      </c>
      <c r="H17" s="5" t="s">
        <v>27</v>
      </c>
      <c r="I17" s="5">
        <v>5688.5037972999999</v>
      </c>
    </row>
    <row r="18" spans="1:9">
      <c r="A18" s="5" t="s">
        <v>28</v>
      </c>
      <c r="B18" s="5">
        <v>4210.2929999999997</v>
      </c>
      <c r="H18" s="5" t="s">
        <v>28</v>
      </c>
      <c r="I18" s="5">
        <v>5734.8095000000003</v>
      </c>
    </row>
    <row r="19" spans="1:9">
      <c r="A19" s="5" t="s">
        <v>29</v>
      </c>
      <c r="B19" s="5">
        <v>0.11203829999999999</v>
      </c>
      <c r="H19" s="5" t="s">
        <v>29</v>
      </c>
      <c r="I19" s="5">
        <v>0.15177309999999999</v>
      </c>
    </row>
    <row r="20" spans="1:9">
      <c r="A20" s="5" t="s">
        <v>30</v>
      </c>
      <c r="B20" s="5">
        <v>0.1086155</v>
      </c>
      <c r="H20" s="5" t="s">
        <v>30</v>
      </c>
      <c r="I20" s="5">
        <v>0.1493806</v>
      </c>
    </row>
    <row r="21" spans="1:9">
      <c r="A21" s="5" t="s">
        <v>31</v>
      </c>
      <c r="B21" s="5">
        <v>1686</v>
      </c>
      <c r="H21" s="5" t="s">
        <v>31</v>
      </c>
      <c r="I21" s="5">
        <v>2412</v>
      </c>
    </row>
    <row r="22" spans="1:9">
      <c r="A22" s="5" t="s">
        <v>32</v>
      </c>
      <c r="B22" s="5">
        <f>B21/6</f>
        <v>281</v>
      </c>
      <c r="H22" s="5" t="s">
        <v>32</v>
      </c>
      <c r="I22" s="5">
        <f>I21/6</f>
        <v>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048E-3057-8848-B6F1-64984A50A0A0}">
  <dimension ref="A1:G23"/>
  <sheetViews>
    <sheetView zoomScale="119" workbookViewId="0">
      <selection activeCell="A23" sqref="A23:B23"/>
    </sheetView>
  </sheetViews>
  <sheetFormatPr baseColWidth="10" defaultRowHeight="15"/>
  <cols>
    <col min="1" max="1" width="28.83203125" customWidth="1"/>
    <col min="7" max="7" width="10.83203125" style="10"/>
  </cols>
  <sheetData>
    <row r="1" spans="1:7">
      <c r="A1" s="5" t="s">
        <v>33</v>
      </c>
      <c r="B1" s="5" t="s">
        <v>2</v>
      </c>
      <c r="C1" s="5"/>
      <c r="D1" s="5"/>
      <c r="E1" s="5"/>
      <c r="F1" s="5"/>
    </row>
    <row r="2" spans="1:7">
      <c r="A2" s="5"/>
      <c r="B2" s="5" t="s">
        <v>18</v>
      </c>
      <c r="C2" s="5" t="s">
        <v>19</v>
      </c>
      <c r="D2" s="5" t="s">
        <v>20</v>
      </c>
      <c r="E2" s="5" t="s">
        <v>21</v>
      </c>
      <c r="F2" s="5"/>
    </row>
    <row r="3" spans="1:7">
      <c r="A3" s="5" t="s">
        <v>37</v>
      </c>
      <c r="B3" s="5">
        <v>-0.67399410000000004</v>
      </c>
      <c r="C3" s="5">
        <v>3.6330000000000001E-2</v>
      </c>
      <c r="D3" s="5">
        <v>-18.552</v>
      </c>
      <c r="E3" s="5" t="s">
        <v>23</v>
      </c>
      <c r="F3" s="5" t="s">
        <v>0</v>
      </c>
    </row>
    <row r="4" spans="1:7">
      <c r="A4" s="5" t="s">
        <v>38</v>
      </c>
      <c r="B4" s="5">
        <v>-9.3777399999999997E-2</v>
      </c>
      <c r="C4" s="5">
        <v>3.1166699999999999E-2</v>
      </c>
      <c r="D4" s="5">
        <v>-3.0089000000000001</v>
      </c>
      <c r="E4" s="5">
        <v>2.6220000000000002E-3</v>
      </c>
      <c r="F4" s="5" t="s">
        <v>3</v>
      </c>
      <c r="G4" s="11" t="s">
        <v>41</v>
      </c>
    </row>
    <row r="5" spans="1:7">
      <c r="A5" s="5" t="s">
        <v>6</v>
      </c>
      <c r="B5" s="5">
        <v>-0.2100226</v>
      </c>
      <c r="C5" s="5">
        <v>1.69202E-2</v>
      </c>
      <c r="D5" s="5">
        <v>-12.4125</v>
      </c>
      <c r="E5" s="5" t="s">
        <v>23</v>
      </c>
      <c r="F5" s="5" t="s">
        <v>0</v>
      </c>
    </row>
    <row r="6" spans="1:7">
      <c r="A6" s="5" t="s">
        <v>12</v>
      </c>
      <c r="B6" s="5">
        <v>-9.5443799999999995E-2</v>
      </c>
      <c r="C6" s="5">
        <v>9.5466000000000006E-3</v>
      </c>
      <c r="D6" s="5">
        <v>-9.9977</v>
      </c>
      <c r="E6" s="5" t="s">
        <v>23</v>
      </c>
      <c r="F6" s="5" t="s">
        <v>0</v>
      </c>
    </row>
    <row r="7" spans="1:7">
      <c r="A7" s="5" t="s">
        <v>11</v>
      </c>
      <c r="B7" s="5">
        <v>0.3288741</v>
      </c>
      <c r="C7" s="5">
        <v>5.4204799999999997E-2</v>
      </c>
      <c r="D7" s="5">
        <v>6.0673000000000004</v>
      </c>
      <c r="E7" s="5">
        <v>1.301E-9</v>
      </c>
      <c r="F7" s="5" t="s">
        <v>0</v>
      </c>
    </row>
    <row r="8" spans="1:7">
      <c r="A8" s="5" t="s">
        <v>13</v>
      </c>
      <c r="B8" s="5">
        <v>-0.5505234</v>
      </c>
      <c r="C8" s="5">
        <v>6.31906E-2</v>
      </c>
      <c r="D8" s="5">
        <v>-8.7120999999999995</v>
      </c>
      <c r="E8" s="5" t="s">
        <v>23</v>
      </c>
      <c r="F8" s="5" t="s">
        <v>0</v>
      </c>
    </row>
    <row r="9" spans="1:7">
      <c r="A9" s="5" t="s">
        <v>9</v>
      </c>
      <c r="B9" s="5">
        <v>-1.7754445000000001</v>
      </c>
      <c r="C9" s="5">
        <v>0.13430249999999999</v>
      </c>
      <c r="D9" s="5">
        <v>-13.2197</v>
      </c>
      <c r="E9" s="5" t="s">
        <v>23</v>
      </c>
      <c r="F9" s="5" t="s">
        <v>0</v>
      </c>
    </row>
    <row r="10" spans="1:7">
      <c r="A10" s="5" t="s">
        <v>39</v>
      </c>
      <c r="B10" s="5">
        <v>-0.480236</v>
      </c>
      <c r="C10" s="5">
        <v>0.100942</v>
      </c>
      <c r="D10" s="5">
        <v>-4.7575000000000003</v>
      </c>
      <c r="E10" s="5">
        <v>1.9599999999999999E-6</v>
      </c>
      <c r="F10" s="5" t="s">
        <v>0</v>
      </c>
      <c r="G10" s="11" t="s">
        <v>42</v>
      </c>
    </row>
    <row r="11" spans="1:7">
      <c r="A11" s="5" t="s">
        <v>10</v>
      </c>
      <c r="B11" s="5">
        <v>-0.23265859999999999</v>
      </c>
      <c r="C11" s="5">
        <v>5.0691699999999999E-2</v>
      </c>
      <c r="D11" s="5">
        <v>-4.5896999999999997</v>
      </c>
      <c r="E11" s="5">
        <v>4.4390000000000002E-6</v>
      </c>
      <c r="F11" s="5" t="s">
        <v>0</v>
      </c>
    </row>
    <row r="12" spans="1:7">
      <c r="A12" s="5" t="s">
        <v>24</v>
      </c>
      <c r="B12" s="5">
        <v>-4.7742873000000001</v>
      </c>
      <c r="C12" s="5">
        <v>0.162188</v>
      </c>
      <c r="D12" s="5">
        <v>-29.436800000000002</v>
      </c>
      <c r="E12" s="5" t="s">
        <v>23</v>
      </c>
      <c r="F12" s="5" t="s">
        <v>0</v>
      </c>
    </row>
    <row r="13" spans="1:7">
      <c r="A13" s="5" t="s">
        <v>16</v>
      </c>
      <c r="B13" s="5"/>
      <c r="C13" s="5"/>
      <c r="D13" s="5"/>
      <c r="E13" s="5"/>
      <c r="F13" s="5"/>
    </row>
    <row r="14" spans="1:7">
      <c r="A14" s="5" t="s">
        <v>34</v>
      </c>
      <c r="B14" s="5" t="s">
        <v>35</v>
      </c>
      <c r="C14" s="5"/>
      <c r="D14" s="5"/>
      <c r="E14" s="5"/>
      <c r="F14" s="5"/>
    </row>
    <row r="15" spans="1:7">
      <c r="A15" s="5" t="s">
        <v>17</v>
      </c>
      <c r="B15" s="5"/>
      <c r="C15" s="5"/>
      <c r="D15" s="5"/>
      <c r="E15" s="5"/>
      <c r="F15" s="5"/>
    </row>
    <row r="16" spans="1:7">
      <c r="A16" s="5" t="s">
        <v>25</v>
      </c>
      <c r="B16" s="5">
        <v>-4944.4374072999999</v>
      </c>
      <c r="C16" s="5"/>
      <c r="D16" s="5"/>
      <c r="E16" s="5"/>
      <c r="F16" s="5"/>
    </row>
    <row r="17" spans="1:6">
      <c r="A17" s="5" t="s">
        <v>26</v>
      </c>
      <c r="B17" s="5">
        <v>-5681.0342919000004</v>
      </c>
      <c r="C17" s="5"/>
      <c r="D17" s="5"/>
      <c r="E17" s="5"/>
      <c r="F17" s="5"/>
    </row>
    <row r="18" spans="1:6">
      <c r="A18" s="5" t="s">
        <v>27</v>
      </c>
      <c r="B18" s="5">
        <v>9908.8748145999998</v>
      </c>
      <c r="C18" s="5"/>
      <c r="D18" s="5"/>
      <c r="E18" s="5"/>
      <c r="F18" s="5"/>
    </row>
    <row r="19" spans="1:6">
      <c r="A19" s="5" t="s">
        <v>28</v>
      </c>
      <c r="B19" s="5">
        <v>9972.0573999999997</v>
      </c>
      <c r="C19" s="5"/>
      <c r="D19" s="5"/>
      <c r="E19" s="5"/>
      <c r="F19" s="5"/>
    </row>
    <row r="20" spans="1:6">
      <c r="A20" s="5" t="s">
        <v>29</v>
      </c>
      <c r="B20" s="5">
        <v>0.12965889999999999</v>
      </c>
      <c r="C20" s="5"/>
      <c r="D20" s="5"/>
      <c r="E20" s="5"/>
      <c r="F20" s="5"/>
    </row>
    <row r="21" spans="1:6">
      <c r="A21" s="5" t="s">
        <v>30</v>
      </c>
      <c r="B21" s="5">
        <v>0.1278987</v>
      </c>
      <c r="C21" s="5"/>
      <c r="D21" s="5"/>
      <c r="E21" s="5"/>
      <c r="F21" s="5"/>
    </row>
    <row r="22" spans="1:6">
      <c r="A22" s="5" t="s">
        <v>31</v>
      </c>
      <c r="B22" s="5">
        <v>4098</v>
      </c>
      <c r="C22" s="5"/>
      <c r="D22" s="5"/>
      <c r="E22" s="5"/>
      <c r="F22" s="5"/>
    </row>
    <row r="23" spans="1:6">
      <c r="A23" s="5" t="s">
        <v>32</v>
      </c>
      <c r="B23" s="5">
        <f>B22/6</f>
        <v>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18B8-692F-044A-96DF-45B0718CD174}">
  <dimension ref="A1:E19"/>
  <sheetViews>
    <sheetView workbookViewId="0">
      <selection activeCell="C12" sqref="C12"/>
    </sheetView>
  </sheetViews>
  <sheetFormatPr baseColWidth="10" defaultRowHeight="15"/>
  <sheetData>
    <row r="1" spans="1:5">
      <c r="A1" s="51"/>
      <c r="B1" s="52"/>
      <c r="C1" s="50" t="s">
        <v>53</v>
      </c>
      <c r="D1" s="50"/>
    </row>
    <row r="2" spans="1:5">
      <c r="A2" s="53"/>
      <c r="B2" s="54"/>
      <c r="C2" s="12" t="s">
        <v>54</v>
      </c>
      <c r="D2" s="12" t="s">
        <v>55</v>
      </c>
    </row>
    <row r="3" spans="1:5">
      <c r="A3" s="50" t="s">
        <v>51</v>
      </c>
      <c r="B3" s="12" t="s">
        <v>43</v>
      </c>
      <c r="C3" s="12">
        <v>197</v>
      </c>
      <c r="D3" s="12">
        <v>111</v>
      </c>
    </row>
    <row r="4" spans="1:5">
      <c r="A4" s="50"/>
      <c r="B4" s="12" t="s">
        <v>52</v>
      </c>
      <c r="C4" s="12">
        <v>151</v>
      </c>
      <c r="D4" s="12">
        <v>224</v>
      </c>
    </row>
    <row r="6" spans="1:5">
      <c r="A6" s="50"/>
      <c r="B6" s="50"/>
      <c r="C6" s="50" t="s">
        <v>53</v>
      </c>
      <c r="D6" s="50"/>
    </row>
    <row r="7" spans="1:5">
      <c r="A7" s="50"/>
      <c r="B7" s="50"/>
      <c r="C7" s="12" t="s">
        <v>54</v>
      </c>
      <c r="D7" s="12" t="s">
        <v>55</v>
      </c>
    </row>
    <row r="8" spans="1:5">
      <c r="A8" s="50" t="s">
        <v>51</v>
      </c>
      <c r="B8" s="12" t="s">
        <v>43</v>
      </c>
      <c r="C8" s="13">
        <f>C3/SUM($C$3:$D$4)</f>
        <v>0.28843338213762809</v>
      </c>
      <c r="D8" s="13">
        <f>D3/SUM($C$3:$D$4)</f>
        <v>0.16251830161054173</v>
      </c>
    </row>
    <row r="9" spans="1:5">
      <c r="A9" s="50"/>
      <c r="B9" s="12" t="s">
        <v>52</v>
      </c>
      <c r="C9" s="13">
        <f>C4/SUM($C$3:$D$4)</f>
        <v>0.22108345534407028</v>
      </c>
      <c r="D9" s="13">
        <f>D4/SUM($C$3:$D$4)</f>
        <v>0.32796486090775989</v>
      </c>
    </row>
    <row r="13" spans="1:5">
      <c r="B13" s="7"/>
      <c r="C13" s="7"/>
      <c r="D13" s="7"/>
      <c r="E13" s="7"/>
    </row>
    <row r="14" spans="1:5">
      <c r="B14" s="7"/>
      <c r="C14" s="7"/>
      <c r="D14" s="7"/>
      <c r="E14" s="7"/>
    </row>
    <row r="15" spans="1:5">
      <c r="B15" s="8"/>
      <c r="C15" s="8"/>
      <c r="D15" s="8"/>
      <c r="E15" s="8"/>
    </row>
    <row r="16" spans="1:5">
      <c r="B16" s="8"/>
      <c r="C16" s="8"/>
      <c r="D16" s="8"/>
      <c r="E16" s="8"/>
    </row>
    <row r="17" spans="2:5">
      <c r="B17" s="8"/>
      <c r="C17" s="8"/>
      <c r="D17" s="8"/>
      <c r="E17" s="8"/>
    </row>
    <row r="18" spans="2:5">
      <c r="B18" s="8"/>
      <c r="C18" s="8"/>
      <c r="D18" s="8"/>
      <c r="E18" s="8"/>
    </row>
    <row r="19" spans="2:5">
      <c r="B19" s="8"/>
      <c r="C19" s="6"/>
      <c r="D19" s="6"/>
      <c r="E19" s="6"/>
    </row>
  </sheetData>
  <mergeCells count="6">
    <mergeCell ref="A8:A9"/>
    <mergeCell ref="C1:D1"/>
    <mergeCell ref="A3:A4"/>
    <mergeCell ref="A1:B2"/>
    <mergeCell ref="A6:B7"/>
    <mergeCell ref="C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workbookViewId="0">
      <selection activeCell="A9" sqref="A9:XFD9"/>
    </sheetView>
  </sheetViews>
  <sheetFormatPr baseColWidth="10" defaultColWidth="8.83203125" defaultRowHeight="15"/>
  <cols>
    <col min="1" max="1" width="26.83203125" style="5" customWidth="1"/>
    <col min="2" max="2" width="8.83203125" style="5" customWidth="1"/>
    <col min="3" max="4" width="8.83203125" style="5" hidden="1" customWidth="1"/>
    <col min="5" max="7" width="8.83203125" style="5" customWidth="1"/>
    <col min="8" max="8" width="15.33203125" style="5" customWidth="1"/>
    <col min="9" max="9" width="8.83203125" style="5" customWidth="1"/>
    <col min="10" max="11" width="8.83203125" style="5" hidden="1" customWidth="1"/>
    <col min="12" max="14" width="8.83203125" style="5"/>
    <col min="15" max="15" width="17.5" style="5" customWidth="1"/>
    <col min="16" max="16" width="8.83203125" style="5"/>
    <col min="17" max="18" width="0" style="5" hidden="1" customWidth="1"/>
    <col min="19" max="16384" width="8.83203125" style="5"/>
  </cols>
  <sheetData>
    <row r="1" spans="1:20" ht="22">
      <c r="A1" s="14" t="s">
        <v>44</v>
      </c>
      <c r="H1" s="14" t="s">
        <v>45</v>
      </c>
      <c r="O1" s="14" t="s">
        <v>46</v>
      </c>
    </row>
    <row r="2" spans="1:20">
      <c r="A2" s="5" t="s">
        <v>33</v>
      </c>
      <c r="B2" s="5" t="s">
        <v>2</v>
      </c>
      <c r="H2" s="5" t="s">
        <v>33</v>
      </c>
      <c r="I2" s="5" t="s">
        <v>2</v>
      </c>
      <c r="O2" s="5" t="s">
        <v>33</v>
      </c>
      <c r="P2" s="5" t="s">
        <v>2</v>
      </c>
    </row>
    <row r="3" spans="1:20">
      <c r="B3" s="5" t="s">
        <v>18</v>
      </c>
      <c r="C3" s="5" t="s">
        <v>19</v>
      </c>
      <c r="D3" s="5" t="s">
        <v>20</v>
      </c>
      <c r="E3" s="5" t="s">
        <v>21</v>
      </c>
      <c r="I3" s="5" t="s">
        <v>18</v>
      </c>
      <c r="J3" s="5" t="s">
        <v>19</v>
      </c>
      <c r="K3" s="5" t="s">
        <v>20</v>
      </c>
      <c r="L3" s="5" t="s">
        <v>21</v>
      </c>
      <c r="P3" s="5" t="s">
        <v>18</v>
      </c>
      <c r="Q3" s="5" t="s">
        <v>19</v>
      </c>
      <c r="R3" s="5" t="s">
        <v>20</v>
      </c>
      <c r="S3" s="5" t="s">
        <v>21</v>
      </c>
    </row>
    <row r="4" spans="1:20">
      <c r="A4" s="5" t="s">
        <v>22</v>
      </c>
      <c r="B4" s="5">
        <v>0.87557600000000002</v>
      </c>
      <c r="C4" s="5">
        <v>5.8255000000000001E-2</v>
      </c>
      <c r="D4" s="5">
        <v>15.030200000000001</v>
      </c>
      <c r="E4" s="5" t="s">
        <v>23</v>
      </c>
      <c r="F4" s="5" t="s">
        <v>0</v>
      </c>
      <c r="H4" s="5" t="s">
        <v>22</v>
      </c>
      <c r="I4" s="5">
        <v>1.9393742</v>
      </c>
      <c r="J4" s="5">
        <v>0.13212199999999999</v>
      </c>
      <c r="K4" s="5">
        <v>14.678699999999999</v>
      </c>
      <c r="L4" s="5" t="s">
        <v>23</v>
      </c>
      <c r="M4" s="5" t="s">
        <v>0</v>
      </c>
      <c r="O4" s="5" t="s">
        <v>22</v>
      </c>
      <c r="P4" s="5">
        <v>0.77800499999999995</v>
      </c>
      <c r="Q4" s="5">
        <v>8.2188999999999998E-2</v>
      </c>
      <c r="R4" s="5">
        <v>9.4661000000000008</v>
      </c>
      <c r="S4" s="5" t="s">
        <v>23</v>
      </c>
      <c r="T4" s="5" t="s">
        <v>0</v>
      </c>
    </row>
    <row r="5" spans="1:20">
      <c r="A5" s="5" t="s">
        <v>24</v>
      </c>
      <c r="B5" s="5">
        <v>-5.8160170000000004</v>
      </c>
      <c r="C5" s="5">
        <v>0.32045600000000002</v>
      </c>
      <c r="D5" s="5">
        <v>-18.1492</v>
      </c>
      <c r="E5" s="5" t="s">
        <v>23</v>
      </c>
      <c r="F5" s="5" t="s">
        <v>0</v>
      </c>
      <c r="H5" s="5" t="s">
        <v>24</v>
      </c>
      <c r="I5" s="5">
        <v>-3.3560783000000001</v>
      </c>
      <c r="J5" s="5">
        <v>0.17772289999999999</v>
      </c>
      <c r="K5" s="5">
        <v>-18.883800000000001</v>
      </c>
      <c r="L5" s="5" t="s">
        <v>23</v>
      </c>
      <c r="M5" s="5" t="s">
        <v>0</v>
      </c>
      <c r="O5" s="5" t="s">
        <v>24</v>
      </c>
      <c r="P5" s="5">
        <v>-6.6147419999999997</v>
      </c>
      <c r="Q5" s="5">
        <v>0.55688000000000004</v>
      </c>
      <c r="R5" s="5">
        <v>-11.8782</v>
      </c>
      <c r="S5" s="5" t="s">
        <v>23</v>
      </c>
      <c r="T5" s="5" t="s">
        <v>0</v>
      </c>
    </row>
    <row r="6" spans="1:20">
      <c r="A6" s="5" t="s">
        <v>9</v>
      </c>
      <c r="B6" s="5">
        <v>-2.5061740000000001</v>
      </c>
      <c r="C6" s="5">
        <v>0.25999800000000001</v>
      </c>
      <c r="D6" s="5">
        <v>-9.6392000000000007</v>
      </c>
      <c r="E6" s="5" t="s">
        <v>23</v>
      </c>
      <c r="F6" s="5" t="s">
        <v>0</v>
      </c>
      <c r="H6" s="5" t="s">
        <v>9</v>
      </c>
      <c r="I6" s="5">
        <v>-1.0576521000000001</v>
      </c>
      <c r="J6" s="5">
        <v>0.1452852</v>
      </c>
      <c r="K6" s="5">
        <v>-7.2797999999999998</v>
      </c>
      <c r="L6" s="5">
        <v>3.3419999999999998E-13</v>
      </c>
      <c r="M6" s="5" t="s">
        <v>0</v>
      </c>
      <c r="O6" s="5" t="s">
        <v>9</v>
      </c>
      <c r="P6" s="5">
        <v>-2.7941069999999999</v>
      </c>
      <c r="Q6" s="5">
        <v>0.61513200000000001</v>
      </c>
      <c r="R6" s="5">
        <v>-4.5423</v>
      </c>
      <c r="S6" s="5">
        <v>5.5650000000000001E-6</v>
      </c>
      <c r="T6" s="5" t="s">
        <v>0</v>
      </c>
    </row>
    <row r="7" spans="1:20">
      <c r="A7" s="5" t="s">
        <v>10</v>
      </c>
      <c r="B7" s="5">
        <v>-0.46252599999999999</v>
      </c>
      <c r="C7" s="5">
        <v>0.10163999999999999</v>
      </c>
      <c r="D7" s="5">
        <v>-4.5507</v>
      </c>
      <c r="E7" s="5">
        <v>5.3480000000000003E-6</v>
      </c>
      <c r="F7" s="5" t="s">
        <v>0</v>
      </c>
      <c r="H7" s="5" t="s">
        <v>10</v>
      </c>
      <c r="I7" s="5">
        <v>-0.33179049999999999</v>
      </c>
      <c r="J7" s="5">
        <v>6.0158999999999997E-2</v>
      </c>
      <c r="K7" s="5">
        <v>-5.5152000000000001</v>
      </c>
      <c r="L7" s="5">
        <v>3.4830000000000002E-8</v>
      </c>
      <c r="M7" s="5" t="s">
        <v>0</v>
      </c>
      <c r="O7" s="5" t="s">
        <v>10</v>
      </c>
      <c r="P7" s="5">
        <v>-1.2725999999999999E-2</v>
      </c>
      <c r="Q7" s="5">
        <v>0.183175</v>
      </c>
      <c r="R7" s="5">
        <v>-6.9500000000000006E-2</v>
      </c>
      <c r="S7" s="5">
        <v>0.94461099999999998</v>
      </c>
    </row>
    <row r="8" spans="1:20">
      <c r="A8" s="5" t="s">
        <v>11</v>
      </c>
      <c r="B8" s="5">
        <v>0.50964900000000002</v>
      </c>
      <c r="C8" s="5">
        <v>0.12984599999999999</v>
      </c>
      <c r="D8" s="5">
        <v>3.9249999999999998</v>
      </c>
      <c r="E8" s="5">
        <v>8.6719999999999996E-5</v>
      </c>
      <c r="F8" s="5" t="s">
        <v>0</v>
      </c>
      <c r="H8" s="5" t="s">
        <v>11</v>
      </c>
      <c r="I8" s="5">
        <v>3.4262599999999997E-2</v>
      </c>
      <c r="J8" s="5">
        <v>0.10878690000000001</v>
      </c>
      <c r="K8" s="5">
        <v>0.315</v>
      </c>
      <c r="L8" s="5">
        <v>0.75279830000000003</v>
      </c>
      <c r="O8" s="5" t="s">
        <v>11</v>
      </c>
      <c r="P8" s="5">
        <v>0.69793799999999995</v>
      </c>
      <c r="Q8" s="5">
        <v>0.26462599999999997</v>
      </c>
      <c r="R8" s="5">
        <v>2.6375000000000002</v>
      </c>
      <c r="S8" s="5">
        <v>8.3529999999999993E-3</v>
      </c>
      <c r="T8" s="5" t="s">
        <v>3</v>
      </c>
    </row>
    <row r="9" spans="1:20">
      <c r="A9" s="5" t="s">
        <v>6</v>
      </c>
      <c r="B9" s="5">
        <v>-0.19911400000000001</v>
      </c>
      <c r="C9" s="5">
        <v>3.0651000000000001E-2</v>
      </c>
      <c r="D9" s="5">
        <v>-6.4962999999999997</v>
      </c>
      <c r="E9" s="5">
        <v>8.2339999999999997E-11</v>
      </c>
      <c r="F9" s="5" t="s">
        <v>0</v>
      </c>
      <c r="H9" s="5" t="s">
        <v>6</v>
      </c>
      <c r="I9" s="5">
        <v>-9.7453499999999998E-2</v>
      </c>
      <c r="J9" s="5">
        <v>1.7376099999999998E-2</v>
      </c>
      <c r="K9" s="5">
        <v>-5.6085000000000003</v>
      </c>
      <c r="L9" s="5">
        <v>2.0409999999999999E-8</v>
      </c>
      <c r="M9" s="5" t="s">
        <v>0</v>
      </c>
      <c r="O9" s="5" t="s">
        <v>6</v>
      </c>
      <c r="P9" s="5">
        <v>-0.23416899999999999</v>
      </c>
      <c r="Q9" s="5">
        <v>5.7378999999999999E-2</v>
      </c>
      <c r="R9" s="5">
        <v>-4.0811000000000002</v>
      </c>
      <c r="S9" s="5">
        <v>4.4830000000000003E-5</v>
      </c>
      <c r="T9" s="5" t="s">
        <v>0</v>
      </c>
    </row>
    <row r="10" spans="1:20">
      <c r="A10" s="5" t="s">
        <v>12</v>
      </c>
      <c r="B10" s="5">
        <v>-0.103517</v>
      </c>
      <c r="C10" s="5">
        <v>1.7354999999999999E-2</v>
      </c>
      <c r="D10" s="5">
        <v>-5.9645999999999999</v>
      </c>
      <c r="E10" s="5">
        <v>2.4519999999999998E-9</v>
      </c>
      <c r="F10" s="5" t="s">
        <v>0</v>
      </c>
      <c r="H10" s="5" t="s">
        <v>12</v>
      </c>
      <c r="I10" s="5">
        <v>-3.53821E-2</v>
      </c>
      <c r="J10" s="5">
        <v>9.7427999999999994E-3</v>
      </c>
      <c r="K10" s="5">
        <v>-3.6316000000000002</v>
      </c>
      <c r="L10" s="5">
        <v>2.8170000000000002E-4</v>
      </c>
      <c r="M10" s="5" t="s">
        <v>0</v>
      </c>
      <c r="O10" s="5" t="s">
        <v>12</v>
      </c>
      <c r="P10" s="5">
        <v>-0.17561099999999999</v>
      </c>
      <c r="Q10" s="5">
        <v>3.4133999999999998E-2</v>
      </c>
      <c r="R10" s="5">
        <v>-5.1447000000000003</v>
      </c>
      <c r="S10" s="5">
        <v>2.6800000000000002E-7</v>
      </c>
      <c r="T10" s="5" t="s">
        <v>0</v>
      </c>
    </row>
    <row r="11" spans="1:20">
      <c r="A11" s="5" t="s">
        <v>13</v>
      </c>
      <c r="B11" s="5">
        <v>-0.84811899999999996</v>
      </c>
      <c r="C11" s="5">
        <v>0.130686</v>
      </c>
      <c r="D11" s="5">
        <v>-6.4897</v>
      </c>
      <c r="E11" s="5">
        <v>8.5979999999999997E-11</v>
      </c>
      <c r="F11" s="5" t="s">
        <v>0</v>
      </c>
      <c r="H11" s="5" t="s">
        <v>13</v>
      </c>
      <c r="I11" s="5">
        <v>-0.44879469999999999</v>
      </c>
      <c r="J11" s="5">
        <v>7.4363899999999997E-2</v>
      </c>
      <c r="K11" s="5">
        <v>-6.0350999999999999</v>
      </c>
      <c r="L11" s="5">
        <v>1.5880000000000001E-9</v>
      </c>
      <c r="M11" s="5" t="s">
        <v>0</v>
      </c>
      <c r="O11" s="5" t="s">
        <v>13</v>
      </c>
      <c r="P11" s="5">
        <v>-0.80171000000000003</v>
      </c>
      <c r="Q11" s="5">
        <v>0.24401800000000001</v>
      </c>
      <c r="R11" s="5">
        <v>-3.2854999999999999</v>
      </c>
      <c r="S11" s="5">
        <v>1.018E-3</v>
      </c>
      <c r="T11" s="5" t="s">
        <v>3</v>
      </c>
    </row>
    <row r="12" spans="1:20">
      <c r="A12" s="5" t="s">
        <v>16</v>
      </c>
      <c r="H12" s="5" t="s">
        <v>16</v>
      </c>
      <c r="O12" s="5" t="s">
        <v>16</v>
      </c>
    </row>
    <row r="13" spans="1:20">
      <c r="A13" s="5" t="s">
        <v>34</v>
      </c>
      <c r="B13" s="5" t="s">
        <v>35</v>
      </c>
      <c r="H13" s="5" t="s">
        <v>34</v>
      </c>
      <c r="I13" s="5" t="s">
        <v>35</v>
      </c>
      <c r="O13" s="5" t="s">
        <v>34</v>
      </c>
      <c r="P13" s="5" t="s">
        <v>35</v>
      </c>
    </row>
    <row r="14" spans="1:20">
      <c r="A14" s="5" t="s">
        <v>17</v>
      </c>
      <c r="H14" s="5" t="s">
        <v>17</v>
      </c>
      <c r="O14" s="5" t="s">
        <v>47</v>
      </c>
    </row>
    <row r="15" spans="1:20">
      <c r="A15" s="5" t="s">
        <v>25</v>
      </c>
      <c r="B15" s="5">
        <v>-2166.1016448</v>
      </c>
      <c r="H15" s="5" t="s">
        <v>25</v>
      </c>
      <c r="I15" s="5">
        <v>-1313.1253581999999</v>
      </c>
      <c r="O15" s="5" t="s">
        <v>25</v>
      </c>
      <c r="P15" s="5">
        <v>-791.9029845</v>
      </c>
    </row>
    <row r="16" spans="1:20">
      <c r="A16" s="5" t="s">
        <v>26</v>
      </c>
      <c r="B16" s="5">
        <v>-2561.8719793</v>
      </c>
      <c r="H16" s="5" t="s">
        <v>26</v>
      </c>
      <c r="I16" s="5">
        <v>-1638.5999348</v>
      </c>
      <c r="O16" s="5" t="s">
        <v>26</v>
      </c>
      <c r="P16" s="5">
        <v>-923.27204449999999</v>
      </c>
    </row>
    <row r="17" spans="1:20">
      <c r="A17" s="5" t="s">
        <v>27</v>
      </c>
      <c r="B17" s="5">
        <v>4348.2032896000001</v>
      </c>
      <c r="H17" s="5" t="s">
        <v>27</v>
      </c>
      <c r="I17" s="5">
        <v>2642.2507163</v>
      </c>
      <c r="O17" s="5" t="s">
        <v>27</v>
      </c>
      <c r="P17" s="5">
        <v>1599.8059688999999</v>
      </c>
    </row>
    <row r="18" spans="1:20">
      <c r="A18" s="5" t="s">
        <v>28</v>
      </c>
      <c r="B18" s="5">
        <v>4392.3782000000001</v>
      </c>
      <c r="H18" s="5" t="s">
        <v>28</v>
      </c>
      <c r="I18" s="5">
        <v>2682.8503999999998</v>
      </c>
      <c r="O18" s="5" t="s">
        <v>28</v>
      </c>
      <c r="P18" s="5">
        <v>1635.8163</v>
      </c>
    </row>
    <row r="19" spans="1:20">
      <c r="A19" s="5" t="s">
        <v>29</v>
      </c>
      <c r="B19" s="5">
        <v>0.15448480000000001</v>
      </c>
      <c r="H19" s="5" t="s">
        <v>29</v>
      </c>
      <c r="I19" s="5">
        <v>0.19862969999999999</v>
      </c>
      <c r="O19" s="5" t="s">
        <v>29</v>
      </c>
      <c r="P19" s="5">
        <v>0.14228640000000001</v>
      </c>
    </row>
    <row r="20" spans="1:20">
      <c r="A20" s="5" t="s">
        <v>30</v>
      </c>
      <c r="B20" s="5">
        <v>0.1513621</v>
      </c>
      <c r="H20" s="5" t="s">
        <v>30</v>
      </c>
      <c r="I20" s="5">
        <v>0.19374749999999999</v>
      </c>
      <c r="O20" s="5" t="s">
        <v>30</v>
      </c>
      <c r="P20" s="5">
        <v>0.13362160000000001</v>
      </c>
    </row>
    <row r="21" spans="1:20">
      <c r="A21" s="5" t="s">
        <v>31</v>
      </c>
      <c r="B21" s="5">
        <v>1848</v>
      </c>
      <c r="H21" s="5" t="s">
        <v>31</v>
      </c>
      <c r="I21" s="5">
        <v>1182</v>
      </c>
      <c r="O21" s="5" t="s">
        <v>31</v>
      </c>
      <c r="P21" s="5">
        <v>666</v>
      </c>
    </row>
    <row r="22" spans="1:20">
      <c r="A22" s="5" t="s">
        <v>32</v>
      </c>
      <c r="B22" s="5">
        <f>B21/6</f>
        <v>308</v>
      </c>
      <c r="H22" s="5" t="s">
        <v>32</v>
      </c>
      <c r="I22" s="5">
        <f>I21/6</f>
        <v>197</v>
      </c>
      <c r="O22" s="5" t="s">
        <v>32</v>
      </c>
      <c r="P22" s="5">
        <f>P21/6</f>
        <v>111</v>
      </c>
    </row>
    <row r="24" spans="1:20" ht="22">
      <c r="A24" s="14" t="s">
        <v>48</v>
      </c>
      <c r="H24" s="14" t="s">
        <v>49</v>
      </c>
      <c r="O24" s="14" t="s">
        <v>50</v>
      </c>
    </row>
    <row r="25" spans="1:20">
      <c r="A25" s="5" t="s">
        <v>33</v>
      </c>
      <c r="B25" s="5" t="s">
        <v>2</v>
      </c>
      <c r="H25" s="5" t="s">
        <v>33</v>
      </c>
      <c r="I25" s="5" t="s">
        <v>2</v>
      </c>
      <c r="O25" s="5" t="s">
        <v>33</v>
      </c>
    </row>
    <row r="26" spans="1:20">
      <c r="B26" s="5" t="s">
        <v>18</v>
      </c>
      <c r="C26" s="5" t="s">
        <v>19</v>
      </c>
      <c r="D26" s="5" t="s">
        <v>20</v>
      </c>
      <c r="E26" s="5" t="s">
        <v>21</v>
      </c>
      <c r="I26" s="5" t="s">
        <v>18</v>
      </c>
      <c r="J26" s="5" t="s">
        <v>19</v>
      </c>
      <c r="K26" s="5" t="s">
        <v>20</v>
      </c>
      <c r="L26" s="5" t="s">
        <v>21</v>
      </c>
      <c r="P26" s="5" t="s">
        <v>18</v>
      </c>
      <c r="Q26" s="5" t="s">
        <v>19</v>
      </c>
      <c r="R26" s="5" t="s">
        <v>20</v>
      </c>
      <c r="S26" s="5" t="s">
        <v>21</v>
      </c>
    </row>
    <row r="27" spans="1:20">
      <c r="A27" s="5" t="s">
        <v>22</v>
      </c>
      <c r="B27" s="5">
        <v>0.65764999999999996</v>
      </c>
      <c r="C27" s="5">
        <v>4.4238E-2</v>
      </c>
      <c r="D27" s="5">
        <v>14.866199999999999</v>
      </c>
      <c r="E27" s="5" t="s">
        <v>23</v>
      </c>
      <c r="F27" s="5" t="s">
        <v>0</v>
      </c>
      <c r="H27" s="5" t="s">
        <v>22</v>
      </c>
      <c r="I27" s="5">
        <v>1.2038059999999999</v>
      </c>
      <c r="J27" s="5">
        <v>0.116573</v>
      </c>
      <c r="K27" s="5">
        <v>10.326599999999999</v>
      </c>
      <c r="L27" s="5" t="s">
        <v>23</v>
      </c>
      <c r="M27" s="5" t="s">
        <v>0</v>
      </c>
      <c r="O27" s="5" t="s">
        <v>22</v>
      </c>
      <c r="P27" s="5">
        <v>0.75672379999999995</v>
      </c>
      <c r="Q27" s="5">
        <v>5.7024600000000002E-2</v>
      </c>
      <c r="R27" s="5">
        <v>13.270099999999999</v>
      </c>
      <c r="S27" s="5" t="s">
        <v>23</v>
      </c>
      <c r="T27" s="5" t="s">
        <v>0</v>
      </c>
    </row>
    <row r="28" spans="1:20">
      <c r="A28" s="5" t="s">
        <v>24</v>
      </c>
      <c r="B28" s="5">
        <v>-7.2726660000000001</v>
      </c>
      <c r="C28" s="5">
        <v>0.37893399999999999</v>
      </c>
      <c r="D28" s="5">
        <v>-19.192399999999999</v>
      </c>
      <c r="E28" s="5" t="s">
        <v>23</v>
      </c>
      <c r="F28" s="5" t="s">
        <v>0</v>
      </c>
      <c r="H28" s="5" t="s">
        <v>24</v>
      </c>
      <c r="I28" s="5">
        <v>-4.3114759999999999</v>
      </c>
      <c r="J28" s="5">
        <v>0.312747</v>
      </c>
      <c r="K28" s="5">
        <v>-13.7858</v>
      </c>
      <c r="L28" s="5" t="s">
        <v>23</v>
      </c>
      <c r="M28" s="5" t="s">
        <v>0</v>
      </c>
      <c r="O28" s="5" t="s">
        <v>24</v>
      </c>
      <c r="P28" s="5">
        <v>-7.2564640999999996</v>
      </c>
      <c r="Q28" s="5">
        <v>0.40117209999999998</v>
      </c>
      <c r="R28" s="5">
        <v>-18.088200000000001</v>
      </c>
      <c r="S28" s="5" t="s">
        <v>23</v>
      </c>
      <c r="T28" s="5" t="s">
        <v>0</v>
      </c>
    </row>
    <row r="29" spans="1:20">
      <c r="A29" s="5" t="s">
        <v>9</v>
      </c>
      <c r="B29" s="5">
        <v>-3.1858300000000002</v>
      </c>
      <c r="C29" s="5">
        <v>0.40663899999999997</v>
      </c>
      <c r="D29" s="5">
        <v>-7.8345000000000002</v>
      </c>
      <c r="E29" s="5">
        <v>4.6630000000000002E-15</v>
      </c>
      <c r="F29" s="5" t="s">
        <v>0</v>
      </c>
      <c r="H29" s="5" t="s">
        <v>9</v>
      </c>
      <c r="I29" s="5">
        <v>-2.0777700000000001</v>
      </c>
      <c r="J29" s="5">
        <v>0.44494600000000001</v>
      </c>
      <c r="K29" s="5">
        <v>-4.6696999999999997</v>
      </c>
      <c r="L29" s="5">
        <v>3.016E-6</v>
      </c>
      <c r="M29" s="5" t="s">
        <v>0</v>
      </c>
      <c r="O29" s="5" t="s">
        <v>9</v>
      </c>
      <c r="P29" s="5">
        <v>-1.8880949</v>
      </c>
      <c r="Q29" s="5">
        <v>0.50179859999999998</v>
      </c>
      <c r="R29" s="5">
        <v>-3.7627000000000002</v>
      </c>
      <c r="S29" s="5">
        <v>1.6809999999999999E-4</v>
      </c>
      <c r="T29" s="5" t="s">
        <v>0</v>
      </c>
    </row>
    <row r="30" spans="1:20">
      <c r="A30" s="5" t="s">
        <v>10</v>
      </c>
      <c r="B30" s="5">
        <v>-0.24129</v>
      </c>
      <c r="C30" s="5">
        <v>0.103413</v>
      </c>
      <c r="D30" s="5">
        <v>-2.3332999999999999</v>
      </c>
      <c r="E30" s="5">
        <v>1.9630000000000002E-2</v>
      </c>
      <c r="F30" s="5" t="s">
        <v>4</v>
      </c>
      <c r="H30" s="5" t="s">
        <v>10</v>
      </c>
      <c r="I30" s="5">
        <v>-0.30935099999999999</v>
      </c>
      <c r="J30" s="5">
        <v>8.9395000000000002E-2</v>
      </c>
      <c r="K30" s="5">
        <v>-3.4605000000000001</v>
      </c>
      <c r="L30" s="5">
        <v>5.3919999999999999E-4</v>
      </c>
      <c r="M30" s="5" t="s">
        <v>0</v>
      </c>
      <c r="O30" s="5" t="s">
        <v>10</v>
      </c>
      <c r="P30" s="5">
        <v>-4.5735000000000003E-3</v>
      </c>
      <c r="Q30" s="5">
        <v>0.12064229999999999</v>
      </c>
      <c r="R30" s="5">
        <v>-3.7900000000000003E-2</v>
      </c>
      <c r="S30" s="5">
        <v>0.96976010000000001</v>
      </c>
    </row>
    <row r="31" spans="1:20">
      <c r="A31" s="5" t="s">
        <v>11</v>
      </c>
      <c r="B31" s="5">
        <v>0.56715199999999999</v>
      </c>
      <c r="C31" s="5">
        <v>0.13700999999999999</v>
      </c>
      <c r="D31" s="5">
        <v>4.1395</v>
      </c>
      <c r="E31" s="5">
        <v>3.481E-5</v>
      </c>
      <c r="F31" s="5" t="s">
        <v>0</v>
      </c>
      <c r="H31" s="5" t="s">
        <v>11</v>
      </c>
      <c r="I31" s="5">
        <v>0.37306600000000001</v>
      </c>
      <c r="J31" s="5">
        <v>0.19490499999999999</v>
      </c>
      <c r="K31" s="5">
        <v>1.9140999999999999</v>
      </c>
      <c r="L31" s="5">
        <v>5.5608699999999997E-2</v>
      </c>
      <c r="M31" s="5" t="s">
        <v>1</v>
      </c>
      <c r="O31" s="5" t="s">
        <v>11</v>
      </c>
      <c r="P31" s="5">
        <v>0.23670669999999999</v>
      </c>
      <c r="Q31" s="5">
        <v>0.1641166</v>
      </c>
      <c r="R31" s="5">
        <v>1.4422999999999999</v>
      </c>
      <c r="S31" s="5">
        <v>0.1492154</v>
      </c>
    </row>
    <row r="32" spans="1:20">
      <c r="A32" s="5" t="s">
        <v>6</v>
      </c>
      <c r="B32" s="5">
        <v>-0.36609599999999998</v>
      </c>
      <c r="C32" s="5">
        <v>4.1697999999999999E-2</v>
      </c>
      <c r="D32" s="5">
        <v>-8.7797000000000001</v>
      </c>
      <c r="E32" s="5" t="s">
        <v>23</v>
      </c>
      <c r="F32" s="5" t="s">
        <v>0</v>
      </c>
      <c r="H32" s="5" t="s">
        <v>6</v>
      </c>
      <c r="I32" s="5">
        <v>-0.15404699999999999</v>
      </c>
      <c r="J32" s="5">
        <v>3.3567E-2</v>
      </c>
      <c r="K32" s="5">
        <v>-4.5891999999999999</v>
      </c>
      <c r="L32" s="5">
        <v>4.4479999999999996E-6</v>
      </c>
      <c r="M32" s="5" t="s">
        <v>0</v>
      </c>
      <c r="O32" s="5" t="s">
        <v>6</v>
      </c>
      <c r="P32" s="5">
        <v>-0.37307489999999999</v>
      </c>
      <c r="Q32" s="5">
        <v>4.6817999999999999E-2</v>
      </c>
      <c r="R32" s="5">
        <v>-7.9686000000000003</v>
      </c>
      <c r="S32" s="5">
        <v>1.554E-15</v>
      </c>
      <c r="T32" s="5" t="s">
        <v>0</v>
      </c>
    </row>
    <row r="33" spans="1:20">
      <c r="A33" s="5" t="s">
        <v>12</v>
      </c>
      <c r="B33" s="5">
        <v>-0.15104699999999999</v>
      </c>
      <c r="C33" s="5">
        <v>2.1479999999999999E-2</v>
      </c>
      <c r="D33" s="5">
        <v>-7.0320999999999998</v>
      </c>
      <c r="E33" s="5">
        <v>2.034E-12</v>
      </c>
      <c r="F33" s="5" t="s">
        <v>0</v>
      </c>
      <c r="H33" s="5" t="s">
        <v>12</v>
      </c>
      <c r="I33" s="5">
        <v>-3.5255000000000002E-2</v>
      </c>
      <c r="J33" s="5">
        <v>1.7194999999999998E-2</v>
      </c>
      <c r="K33" s="5">
        <v>-2.0503</v>
      </c>
      <c r="L33" s="5">
        <v>4.0336299999999999E-2</v>
      </c>
      <c r="M33" s="5" t="s">
        <v>4</v>
      </c>
      <c r="O33" s="5" t="s">
        <v>12</v>
      </c>
      <c r="P33" s="5">
        <v>-0.1863493</v>
      </c>
      <c r="Q33" s="5">
        <v>2.5314900000000001E-2</v>
      </c>
      <c r="R33" s="5">
        <v>-7.3612000000000002</v>
      </c>
      <c r="S33" s="5">
        <v>1.8229999999999999E-13</v>
      </c>
      <c r="T33" s="5" t="s">
        <v>0</v>
      </c>
    </row>
    <row r="34" spans="1:20">
      <c r="A34" s="5" t="s">
        <v>13</v>
      </c>
      <c r="B34" s="5">
        <v>-0.82018400000000002</v>
      </c>
      <c r="C34" s="5">
        <v>0.140737</v>
      </c>
      <c r="D34" s="5">
        <v>-5.8277999999999999</v>
      </c>
      <c r="E34" s="5">
        <v>5.6169999999999999E-9</v>
      </c>
      <c r="F34" s="5" t="s">
        <v>0</v>
      </c>
      <c r="H34" s="5" t="s">
        <v>13</v>
      </c>
      <c r="I34" s="5">
        <v>-0.56899999999999995</v>
      </c>
      <c r="J34" s="5">
        <v>0.12506700000000001</v>
      </c>
      <c r="K34" s="5">
        <v>-4.5495999999999999</v>
      </c>
      <c r="L34" s="5">
        <v>5.3759999999999999E-6</v>
      </c>
      <c r="M34" s="5" t="s">
        <v>0</v>
      </c>
      <c r="O34" s="5" t="s">
        <v>13</v>
      </c>
      <c r="P34" s="5">
        <v>-0.57016480000000003</v>
      </c>
      <c r="Q34" s="5">
        <v>0.15404860000000001</v>
      </c>
      <c r="R34" s="5">
        <v>-3.7012</v>
      </c>
      <c r="S34" s="5">
        <v>2.1460000000000001E-4</v>
      </c>
      <c r="T34" s="5" t="s">
        <v>0</v>
      </c>
    </row>
    <row r="35" spans="1:20">
      <c r="A35" s="5" t="s">
        <v>16</v>
      </c>
      <c r="H35" s="5" t="s">
        <v>16</v>
      </c>
      <c r="O35" s="5" t="s">
        <v>16</v>
      </c>
    </row>
    <row r="36" spans="1:20">
      <c r="A36" s="5" t="s">
        <v>34</v>
      </c>
      <c r="B36" s="5" t="s">
        <v>35</v>
      </c>
      <c r="H36" s="5" t="s">
        <v>34</v>
      </c>
      <c r="I36" s="5" t="s">
        <v>35</v>
      </c>
      <c r="O36" s="5" t="s">
        <v>34</v>
      </c>
      <c r="P36" s="5" t="s">
        <v>35</v>
      </c>
    </row>
    <row r="37" spans="1:20">
      <c r="A37" s="5" t="s">
        <v>17</v>
      </c>
      <c r="H37" s="5" t="s">
        <v>17</v>
      </c>
      <c r="O37" s="5" t="s">
        <v>17</v>
      </c>
    </row>
    <row r="38" spans="1:20">
      <c r="A38" s="5" t="s">
        <v>25</v>
      </c>
      <c r="B38" s="5">
        <v>-2784.7297515999999</v>
      </c>
      <c r="H38" s="5" t="s">
        <v>25</v>
      </c>
      <c r="I38" s="5">
        <v>-1103.4069098</v>
      </c>
      <c r="O38" s="5" t="s">
        <v>25</v>
      </c>
      <c r="P38" s="5">
        <v>-1634.6469916000001</v>
      </c>
    </row>
    <row r="39" spans="1:20">
      <c r="A39" s="5" t="s">
        <v>26</v>
      </c>
      <c r="B39" s="5">
        <v>-3119.1623125000001</v>
      </c>
      <c r="H39" s="5" t="s">
        <v>26</v>
      </c>
      <c r="I39" s="5">
        <v>-1255.9826912000001</v>
      </c>
      <c r="O39" s="5" t="s">
        <v>26</v>
      </c>
      <c r="P39" s="5">
        <v>-1863.1796213</v>
      </c>
    </row>
    <row r="40" spans="1:20">
      <c r="A40" s="5" t="s">
        <v>27</v>
      </c>
      <c r="B40" s="5">
        <v>5585.4595031999997</v>
      </c>
      <c r="H40" s="5" t="s">
        <v>27</v>
      </c>
      <c r="I40" s="5">
        <v>2222.8138196999998</v>
      </c>
      <c r="O40" s="5" t="s">
        <v>27</v>
      </c>
      <c r="P40" s="5">
        <v>3285.2939833</v>
      </c>
    </row>
    <row r="41" spans="1:20">
      <c r="A41" s="5" t="s">
        <v>28</v>
      </c>
      <c r="B41" s="5">
        <v>5631.2089999999998</v>
      </c>
      <c r="H41" s="5" t="s">
        <v>28</v>
      </c>
      <c r="I41" s="5">
        <v>2261.2860999999998</v>
      </c>
      <c r="O41" s="5" t="s">
        <v>28</v>
      </c>
      <c r="P41" s="5">
        <v>3326.9212000000002</v>
      </c>
    </row>
    <row r="42" spans="1:20">
      <c r="A42" s="5" t="s">
        <v>29</v>
      </c>
      <c r="B42" s="5">
        <v>0.1072187</v>
      </c>
      <c r="H42" s="5" t="s">
        <v>29</v>
      </c>
      <c r="I42" s="5">
        <v>0.1214792</v>
      </c>
      <c r="O42" s="5" t="s">
        <v>29</v>
      </c>
      <c r="P42" s="5">
        <v>0.1226573</v>
      </c>
    </row>
    <row r="43" spans="1:20">
      <c r="A43" s="5" t="s">
        <v>30</v>
      </c>
      <c r="B43" s="5">
        <v>0.10465389999999999</v>
      </c>
      <c r="H43" s="5" t="s">
        <v>30</v>
      </c>
      <c r="I43" s="5">
        <v>0.1151097</v>
      </c>
      <c r="O43" s="5" t="s">
        <v>30</v>
      </c>
      <c r="P43" s="5">
        <v>0.1183636</v>
      </c>
    </row>
    <row r="44" spans="1:20">
      <c r="A44" s="5" t="s">
        <v>31</v>
      </c>
      <c r="B44" s="5">
        <v>2250</v>
      </c>
      <c r="H44" s="5" t="s">
        <v>31</v>
      </c>
      <c r="I44" s="5">
        <v>906</v>
      </c>
      <c r="O44" s="5" t="s">
        <v>31</v>
      </c>
      <c r="P44" s="5">
        <v>1344</v>
      </c>
    </row>
    <row r="45" spans="1:20">
      <c r="A45" s="5" t="s">
        <v>32</v>
      </c>
      <c r="B45" s="5">
        <f>B44/6</f>
        <v>375</v>
      </c>
      <c r="H45" s="5" t="s">
        <v>32</v>
      </c>
      <c r="I45" s="5">
        <f>I44/6</f>
        <v>151</v>
      </c>
      <c r="O45" s="5" t="s">
        <v>32</v>
      </c>
      <c r="P45" s="5">
        <f>P44/6</f>
        <v>224</v>
      </c>
    </row>
    <row r="70" spans="16:16">
      <c r="P70" s="15"/>
    </row>
    <row r="71" spans="16:16">
      <c r="P71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BD67-DB89-9744-9F62-CE22CAB157E1}">
  <sheetPr>
    <tabColor rgb="FFC00000"/>
  </sheetPr>
  <dimension ref="A1:J17"/>
  <sheetViews>
    <sheetView tabSelected="1" topLeftCell="A3" zoomScale="129" workbookViewId="0">
      <selection activeCell="A5" sqref="A5:A11"/>
    </sheetView>
  </sheetViews>
  <sheetFormatPr baseColWidth="10" defaultRowHeight="15"/>
  <cols>
    <col min="1" max="1" width="14" style="1" customWidth="1"/>
    <col min="2" max="2" width="10.83203125" style="1"/>
    <col min="3" max="4" width="10.83203125" style="2"/>
    <col min="5" max="5" width="10.5" style="2" customWidth="1"/>
    <col min="6" max="6" width="11.5" style="2" customWidth="1"/>
    <col min="7" max="8" width="10.83203125" style="2"/>
    <col min="9" max="9" width="10.83203125" style="1"/>
    <col min="10" max="10" width="79" style="24" customWidth="1"/>
    <col min="11" max="16384" width="10.83203125" style="1"/>
  </cols>
  <sheetData>
    <row r="1" spans="1:10" ht="16" customHeight="1">
      <c r="A1" s="23" t="s">
        <v>70</v>
      </c>
      <c r="C1" s="59" t="s">
        <v>62</v>
      </c>
      <c r="D1" s="59"/>
      <c r="E1" s="59"/>
      <c r="F1" s="59"/>
      <c r="G1" s="59"/>
      <c r="H1" s="59"/>
    </row>
    <row r="2" spans="1:10">
      <c r="A2" s="58" t="s">
        <v>57</v>
      </c>
      <c r="C2" s="55" t="s">
        <v>56</v>
      </c>
      <c r="D2" s="56"/>
      <c r="E2" s="57"/>
      <c r="F2" s="55" t="s">
        <v>52</v>
      </c>
      <c r="G2" s="56"/>
      <c r="H2" s="57"/>
    </row>
    <row r="3" spans="1:10">
      <c r="A3" s="58"/>
      <c r="C3" s="34" t="s">
        <v>58</v>
      </c>
      <c r="D3" s="35" t="s">
        <v>59</v>
      </c>
      <c r="E3" s="36" t="s">
        <v>60</v>
      </c>
      <c r="F3" s="34" t="s">
        <v>58</v>
      </c>
      <c r="G3" s="35" t="s">
        <v>59</v>
      </c>
      <c r="H3" s="36" t="s">
        <v>60</v>
      </c>
    </row>
    <row r="4" spans="1:10" s="19" customFormat="1">
      <c r="A4" s="20" t="s">
        <v>61</v>
      </c>
      <c r="C4" s="46">
        <v>308</v>
      </c>
      <c r="D4" s="47">
        <v>197</v>
      </c>
      <c r="E4" s="48">
        <v>111</v>
      </c>
      <c r="F4" s="49">
        <v>375</v>
      </c>
      <c r="G4" s="47">
        <v>151</v>
      </c>
      <c r="H4" s="48">
        <v>224</v>
      </c>
      <c r="J4" s="25" t="s">
        <v>63</v>
      </c>
    </row>
    <row r="5" spans="1:10" ht="32">
      <c r="A5" s="16" t="s">
        <v>5</v>
      </c>
      <c r="B5" s="17"/>
      <c r="C5" s="39">
        <v>-5.8160170000000004</v>
      </c>
      <c r="D5" s="2">
        <v>-3.3560783000000001</v>
      </c>
      <c r="E5" s="40">
        <v>-6.6147419999999997</v>
      </c>
      <c r="F5" s="39">
        <v>-7.2726660000000001</v>
      </c>
      <c r="G5" s="2">
        <v>-4.3114759999999999</v>
      </c>
      <c r="H5" s="40">
        <v>-7.2564640999999996</v>
      </c>
      <c r="J5" s="26" t="s">
        <v>64</v>
      </c>
    </row>
    <row r="6" spans="1:10" ht="55" customHeight="1">
      <c r="A6" s="28" t="s">
        <v>9</v>
      </c>
      <c r="B6" s="29"/>
      <c r="C6" s="41">
        <v>-2.5061740000000001</v>
      </c>
      <c r="D6" s="30">
        <v>-1.0576521000000001</v>
      </c>
      <c r="E6" s="42">
        <v>-2.7941069999999999</v>
      </c>
      <c r="F6" s="41">
        <v>-3.1858300000000002</v>
      </c>
      <c r="G6" s="30">
        <v>-2.0777700000000001</v>
      </c>
      <c r="H6" s="42">
        <v>-1.8880949</v>
      </c>
      <c r="J6" s="60" t="s">
        <v>68</v>
      </c>
    </row>
    <row r="7" spans="1:10" ht="19" customHeight="1">
      <c r="A7" s="3" t="s">
        <v>10</v>
      </c>
      <c r="B7" s="17"/>
      <c r="C7" s="39">
        <v>-0.46252599999999999</v>
      </c>
      <c r="D7" s="2">
        <v>-0.33179049999999999</v>
      </c>
      <c r="E7" s="43">
        <v>-1.2725999999999999E-2</v>
      </c>
      <c r="F7" s="39">
        <v>-0.24129</v>
      </c>
      <c r="G7" s="2">
        <v>-0.30935099999999999</v>
      </c>
      <c r="H7" s="43">
        <v>-4.5735000000000003E-3</v>
      </c>
      <c r="J7" s="61"/>
    </row>
    <row r="8" spans="1:10" ht="32">
      <c r="A8" s="28" t="s">
        <v>11</v>
      </c>
      <c r="B8" s="31" t="s">
        <v>8</v>
      </c>
      <c r="C8" s="41">
        <v>0.50964900000000002</v>
      </c>
      <c r="D8" s="44">
        <v>3.4262599999999997E-2</v>
      </c>
      <c r="E8" s="42">
        <v>0.69793799999999995</v>
      </c>
      <c r="F8" s="41">
        <v>0.56715199999999999</v>
      </c>
      <c r="G8" s="30">
        <v>0.37306600000000001</v>
      </c>
      <c r="H8" s="45">
        <v>0.23670669999999999</v>
      </c>
      <c r="J8" s="4" t="s">
        <v>69</v>
      </c>
    </row>
    <row r="9" spans="1:10" ht="48">
      <c r="A9" s="18" t="s">
        <v>6</v>
      </c>
      <c r="B9" s="17" t="s">
        <v>7</v>
      </c>
      <c r="C9" s="39">
        <v>-0.19911400000000001</v>
      </c>
      <c r="D9" s="2">
        <v>-9.7453499999999998E-2</v>
      </c>
      <c r="E9" s="40">
        <v>-0.23416899999999999</v>
      </c>
      <c r="F9" s="39">
        <v>-0.36609599999999998</v>
      </c>
      <c r="G9" s="2">
        <v>-0.15404699999999999</v>
      </c>
      <c r="H9" s="40">
        <v>-0.37307489999999999</v>
      </c>
      <c r="J9" s="26" t="s">
        <v>65</v>
      </c>
    </row>
    <row r="10" spans="1:10" ht="32">
      <c r="A10" s="3" t="s">
        <v>12</v>
      </c>
      <c r="B10" s="17" t="s">
        <v>15</v>
      </c>
      <c r="C10" s="39">
        <v>-0.103517</v>
      </c>
      <c r="D10" s="2">
        <v>-3.53821E-2</v>
      </c>
      <c r="E10" s="40">
        <v>-0.17561099999999999</v>
      </c>
      <c r="F10" s="39">
        <v>-0.15104699999999999</v>
      </c>
      <c r="G10" s="2">
        <v>-3.5255000000000002E-2</v>
      </c>
      <c r="H10" s="40">
        <v>-0.1863493</v>
      </c>
      <c r="J10" s="26" t="s">
        <v>66</v>
      </c>
    </row>
    <row r="11" spans="1:10" s="19" customFormat="1" ht="32">
      <c r="A11" s="21" t="s">
        <v>13</v>
      </c>
      <c r="B11" s="22" t="s">
        <v>14</v>
      </c>
      <c r="C11" s="37">
        <v>-0.84811899999999996</v>
      </c>
      <c r="D11" s="27">
        <v>-0.44879469999999999</v>
      </c>
      <c r="E11" s="38">
        <v>-0.80171000000000003</v>
      </c>
      <c r="F11" s="37">
        <v>-0.82018400000000002</v>
      </c>
      <c r="G11" s="27">
        <v>-0.56899999999999995</v>
      </c>
      <c r="H11" s="38">
        <v>-0.57016480000000003</v>
      </c>
      <c r="J11" s="1" t="s">
        <v>67</v>
      </c>
    </row>
    <row r="13" spans="1:10" s="32" customFormat="1">
      <c r="A13" s="28" t="s">
        <v>72</v>
      </c>
      <c r="C13" s="30">
        <f>C$6+C$8*2</f>
        <v>-1.4868760000000001</v>
      </c>
      <c r="D13" s="30">
        <f t="shared" ref="D13:H13" si="0">D$6+D$8*2</f>
        <v>-0.98912690000000014</v>
      </c>
      <c r="E13" s="30">
        <f t="shared" si="0"/>
        <v>-1.398231</v>
      </c>
      <c r="F13" s="30">
        <f t="shared" si="0"/>
        <v>-2.051526</v>
      </c>
      <c r="G13" s="30">
        <f t="shared" si="0"/>
        <v>-1.3316380000000001</v>
      </c>
      <c r="H13" s="30">
        <f t="shared" si="0"/>
        <v>-1.4146814999999999</v>
      </c>
      <c r="J13" s="33"/>
    </row>
    <row r="14" spans="1:10" s="32" customFormat="1">
      <c r="A14" s="28" t="s">
        <v>74</v>
      </c>
      <c r="C14" s="30">
        <f>C$6+C$8*2.5</f>
        <v>-1.2320515000000001</v>
      </c>
      <c r="D14" s="30">
        <f t="shared" ref="D14:H14" si="1">D$6+D$8*2.5</f>
        <v>-0.97199560000000007</v>
      </c>
      <c r="E14" s="30">
        <f t="shared" si="1"/>
        <v>-1.0492620000000001</v>
      </c>
      <c r="F14" s="30">
        <f t="shared" si="1"/>
        <v>-1.7679500000000001</v>
      </c>
      <c r="G14" s="30">
        <f t="shared" si="1"/>
        <v>-1.145105</v>
      </c>
      <c r="H14" s="30">
        <f t="shared" si="1"/>
        <v>-1.2963281499999999</v>
      </c>
      <c r="J14" s="33"/>
    </row>
    <row r="15" spans="1:10">
      <c r="A15" s="28" t="s">
        <v>73</v>
      </c>
      <c r="C15" s="30">
        <f>C$6+C$8*3.5</f>
        <v>-0.72240250000000006</v>
      </c>
      <c r="D15" s="30">
        <f t="shared" ref="D15:H15" si="2">D$6+D$8*3.5</f>
        <v>-0.93773300000000015</v>
      </c>
      <c r="E15" s="30">
        <f t="shared" si="2"/>
        <v>-0.35132399999999997</v>
      </c>
      <c r="F15" s="30">
        <f t="shared" si="2"/>
        <v>-1.2007980000000003</v>
      </c>
      <c r="G15" s="30">
        <f t="shared" si="2"/>
        <v>-0.77203900000000014</v>
      </c>
      <c r="H15" s="30">
        <f t="shared" si="2"/>
        <v>-1.0596214500000001</v>
      </c>
    </row>
    <row r="17" spans="1:1">
      <c r="A17" t="s">
        <v>71</v>
      </c>
    </row>
  </sheetData>
  <mergeCells count="5">
    <mergeCell ref="C2:E2"/>
    <mergeCell ref="F2:H2"/>
    <mergeCell ref="A2:A3"/>
    <mergeCell ref="C1:H1"/>
    <mergeCell ref="J6:J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CA78-1DA1-B84F-A98C-CA56F949D884}">
  <dimension ref="C2:G4"/>
  <sheetViews>
    <sheetView workbookViewId="0">
      <selection sqref="A1:XFD4"/>
    </sheetView>
  </sheetViews>
  <sheetFormatPr baseColWidth="10" defaultRowHeight="15"/>
  <sheetData>
    <row r="2" spans="3:7">
      <c r="C2" s="62"/>
      <c r="D2" s="62"/>
      <c r="G2" s="62"/>
    </row>
    <row r="3" spans="3:7">
      <c r="C3" s="62"/>
      <c r="D3" s="62"/>
      <c r="G3" s="62"/>
    </row>
    <row r="4" spans="3:7">
      <c r="C4" s="62"/>
      <c r="D4" s="62"/>
      <c r="G4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dynata_prolific</vt:lpstr>
      <vt:lpstr>data_source_interact</vt:lpstr>
      <vt:lpstr>grouping</vt:lpstr>
      <vt:lpstr>WTP model</vt:lpstr>
      <vt:lpstr>WTP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Iogansen, Xiatian (Assoc)</cp:lastModifiedBy>
  <dcterms:created xsi:type="dcterms:W3CDTF">2025-11-13T21:25:14Z</dcterms:created>
  <dcterms:modified xsi:type="dcterms:W3CDTF">2026-01-22T17:10:39Z</dcterms:modified>
</cp:coreProperties>
</file>