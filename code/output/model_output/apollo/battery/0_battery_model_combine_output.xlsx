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output/model_output/apollo/battery/"/>
    </mc:Choice>
  </mc:AlternateContent>
  <xr:revisionPtr revIDLastSave="0" documentId="13_ncr:1_{257F5887-ED8F-9148-9959-F1EC05EF1996}" xr6:coauthVersionLast="47" xr6:coauthVersionMax="47" xr10:uidLastSave="{00000000-0000-0000-0000-000000000000}"/>
  <bookViews>
    <workbookView xWindow="400" yWindow="1380" windowWidth="28880" windowHeight="15340" activeTab="3" xr2:uid="{00000000-000D-0000-FFFF-FFFF00000000}"/>
  </bookViews>
  <sheets>
    <sheet name="pref_1class" sheetId="4" r:id="rId1"/>
    <sheet name="wtp_1class" sheetId="5" r:id="rId2"/>
    <sheet name="coef_fit" sheetId="1" r:id="rId3"/>
    <sheet name="WTP" sheetId="2" r:id="rId4"/>
    <sheet name="Factor_analysis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D9" i="2"/>
  <c r="D7" i="2"/>
  <c r="I5" i="4"/>
  <c r="I6" i="4"/>
  <c r="I7" i="4"/>
  <c r="I8" i="4"/>
  <c r="I9" i="4"/>
  <c r="I10" i="4"/>
  <c r="I4" i="4"/>
  <c r="D13" i="2"/>
  <c r="D14" i="2"/>
  <c r="D12" i="2"/>
</calcChain>
</file>

<file path=xl/sharedStrings.xml><?xml version="1.0" encoding="utf-8"?>
<sst xmlns="http://schemas.openxmlformats.org/spreadsheetml/2006/main" count="373" uniqueCount="140">
  <si>
    <t>b_no_choice_a</t>
  </si>
  <si>
    <t>b_powertrainbev_a</t>
  </si>
  <si>
    <t>b_powertrainhev_a</t>
  </si>
  <si>
    <t>b_range_bev_a</t>
  </si>
  <si>
    <t>b_mileage_a</t>
  </si>
  <si>
    <t>b_age_a</t>
  </si>
  <si>
    <t>b_operating_cost_a</t>
  </si>
  <si>
    <t>b_price_a</t>
  </si>
  <si>
    <t>b_no_choice_b</t>
  </si>
  <si>
    <t>b_powertrainbev_b</t>
  </si>
  <si>
    <t>b_powertrainhev_b</t>
  </si>
  <si>
    <t>b_range_bev_b</t>
  </si>
  <si>
    <t>b_mileage_b</t>
  </si>
  <si>
    <t>b_age_b</t>
  </si>
  <si>
    <t>b_operating_cost_b</t>
  </si>
  <si>
    <t>b_price_b</t>
  </si>
  <si>
    <t>delta_a</t>
  </si>
  <si>
    <t>gamma_EV_benefit_a</t>
  </si>
  <si>
    <t>gamma_EV_anxiety_a</t>
  </si>
  <si>
    <t>delta_b</t>
  </si>
  <si>
    <t>gamma_EV_benefit_b</t>
  </si>
  <si>
    <t>gamma_EV_anxiety_b</t>
  </si>
  <si>
    <t>b_no_choice_c</t>
  </si>
  <si>
    <t>b_powertrainbev_c</t>
  </si>
  <si>
    <t>b_powertrainhev_c</t>
  </si>
  <si>
    <t>b_range_bev_c</t>
  </si>
  <si>
    <t>b_mileage_c</t>
  </si>
  <si>
    <t>b_age_c</t>
  </si>
  <si>
    <t>b_operating_cost_c</t>
  </si>
  <si>
    <t>b_price_c</t>
  </si>
  <si>
    <t>delta_c</t>
  </si>
  <si>
    <t>gamma_EV_benefit_c</t>
  </si>
  <si>
    <t>gamma_EV_anxiety_c</t>
  </si>
  <si>
    <t>Not statistically significant at 90% confidence level</t>
  </si>
  <si>
    <t>Attributes (WTP unit: $10,000)</t>
  </si>
  <si>
    <t>Active Indicators (included in the model)</t>
  </si>
  <si>
    <t>Class Name</t>
  </si>
  <si>
    <t>Class Characteristics</t>
  </si>
  <si>
    <t>Model</t>
  </si>
  <si>
    <t>class_allocation</t>
  </si>
  <si>
    <t>share</t>
  </si>
  <si>
    <t>n</t>
  </si>
  <si>
    <t>no choice</t>
  </si>
  <si>
    <t>mileage</t>
  </si>
  <si>
    <t>FA_EV_benefit</t>
  </si>
  <si>
    <t>FA_EV_anxiety</t>
  </si>
  <si>
    <t>next_veh_fuel_used_bev</t>
  </si>
  <si>
    <t>10,000 miles on the odometer</t>
  </si>
  <si>
    <t>100 miles of battery range</t>
  </si>
  <si>
    <t>factor score</t>
  </si>
  <si>
    <t>base model (one class)</t>
  </si>
  <si>
    <t>NA</t>
  </si>
  <si>
    <t>powertrainbev</t>
  </si>
  <si>
    <t>powertrainhev</t>
  </si>
  <si>
    <t>range_bev</t>
  </si>
  <si>
    <t>age</t>
  </si>
  <si>
    <t>operating_cost</t>
  </si>
  <si>
    <t>one cent per mile</t>
  </si>
  <si>
    <t>one year</t>
  </si>
  <si>
    <t>Class_1</t>
  </si>
  <si>
    <t>Class_2</t>
  </si>
  <si>
    <t>Class_3</t>
  </si>
  <si>
    <t>* very high disutility for selecting a non-ICEV
* highe WTP for additional range and high disutility for mileage, age and operating cost</t>
  </si>
  <si>
    <t>People who are important to me think that I should buy an EV.</t>
  </si>
  <si>
    <t>Driving an EV would eventually result in cost savings.</t>
  </si>
  <si>
    <t>Driving an EV would be beneficial to the environment in the long term.</t>
  </si>
  <si>
    <t>If I owned a BEV, I would often worry about running out of charge.</t>
  </si>
  <si>
    <t>BEVs are less valuable than gasoline cars on the resale market, because the technology is always advancing.</t>
  </si>
  <si>
    <t>The price of an EV is too high.</t>
  </si>
  <si>
    <t>* positive WTP for alternative fuel vehicles, especially PHEV an BEV
* slightly positive WTP for vehicle age, more likely to agree with the statement "Driving an EV would eventually result in cost savings" --&gt; less disutility for the mileage/age, as they are more likely to keep the vehicle for longer</t>
  </si>
  <si>
    <t>* between the other two groups
* disutility for BEV, but positive utility for PHEV and HEV</t>
  </si>
  <si>
    <t>gamma_hhincome_a</t>
  </si>
  <si>
    <t>gamma_hhincome_b</t>
  </si>
  <si>
    <t>gamma_hhincome_c</t>
  </si>
  <si>
    <t>HH_income</t>
  </si>
  <si>
    <t>ATT_EVB_environment</t>
  </si>
  <si>
    <t>ATT_EVB_function</t>
  </si>
  <si>
    <t>next_veh_budget</t>
  </si>
  <si>
    <t>knowledge_ev_share_yes</t>
  </si>
  <si>
    <t>knowledge_subsidy_share_yes</t>
  </si>
  <si>
    <t>EV_charger_share_yes</t>
  </si>
  <si>
    <t>EV_neighbor_share_yes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</si>
  <si>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postive attitudes, least anxiety, high EV exposure</t>
    </r>
  </si>
  <si>
    <t>Estimate</t>
  </si>
  <si>
    <t>Std.err.</t>
  </si>
  <si>
    <t>t-ratio(0)</t>
  </si>
  <si>
    <t>p(2-sided)</t>
  </si>
  <si>
    <t>Rob.std.err.</t>
  </si>
  <si>
    <t>Rob.t-ratio(0)</t>
  </si>
  <si>
    <t>Rob.p-val(0)</t>
  </si>
  <si>
    <t>gamma_ev_charge_a</t>
  </si>
  <si>
    <t>gamma_ev_neighbor_a</t>
  </si>
  <si>
    <t>gamma_knowledge_ev_a</t>
  </si>
  <si>
    <t>gamma_knowledge_subsidy_a</t>
  </si>
  <si>
    <t>gamma_ev_charge_b</t>
  </si>
  <si>
    <t>gamma_ev_neighbor_b</t>
  </si>
  <si>
    <t>gamma_knowledge_ev_b</t>
  </si>
  <si>
    <t>gamma_knowledge_subsidy_b</t>
  </si>
  <si>
    <t>gamma_ev_charge_c</t>
  </si>
  <si>
    <t>gamma_ev_neighbor_c</t>
  </si>
  <si>
    <t>gamma_knowledge_ev_c</t>
  </si>
  <si>
    <t>gamma_knowledge_subsidy_c</t>
  </si>
  <si>
    <t>CAR</t>
  </si>
  <si>
    <t>SUV</t>
  </si>
  <si>
    <t>3-class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</si>
  <si>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most postive attitudes, least anxiety, high EV exposure</t>
    </r>
  </si>
  <si>
    <r>
      <rPr>
        <b/>
        <sz val="11"/>
        <color theme="1"/>
        <rFont val="Aptos Narrow"/>
        <scheme val="minor"/>
      </rPr>
      <t>BEV Skeptics (range focus):</t>
    </r>
    <r>
      <rPr>
        <sz val="11"/>
        <color theme="1"/>
        <rFont val="Aptos Narrow"/>
        <scheme val="minor"/>
      </rPr>
      <t xml:space="preserve">  highest range  anxiety</t>
    </r>
  </si>
  <si>
    <r>
      <rPr>
        <b/>
        <sz val="11"/>
        <color theme="1"/>
        <rFont val="Aptos Narrow"/>
        <scheme val="minor"/>
      </rPr>
      <t>BEV averse:</t>
    </r>
    <r>
      <rPr>
        <sz val="11"/>
        <color theme="1"/>
        <rFont val="Aptos Narrow"/>
        <scheme val="minor"/>
      </rPr>
      <t xml:space="preserve"> most negative attitudes, high anxiety, lowest EV infrastructure</t>
    </r>
  </si>
  <si>
    <t>BEV averse</t>
  </si>
  <si>
    <t>b_no_choice</t>
  </si>
  <si>
    <t>b_powertrainbev</t>
  </si>
  <si>
    <t>b_powertrainhev</t>
  </si>
  <si>
    <t>b_range_bev</t>
  </si>
  <si>
    <t>b_mileage</t>
  </si>
  <si>
    <t>b_age</t>
  </si>
  <si>
    <t>b_operating_cost</t>
  </si>
  <si>
    <t>b_price</t>
  </si>
  <si>
    <t>scale</t>
  </si>
  <si>
    <t>b_range_year0_a</t>
  </si>
  <si>
    <t>b_degradation_a</t>
  </si>
  <si>
    <t>b_packreplace_a</t>
  </si>
  <si>
    <t>b_cellreplace_a</t>
  </si>
  <si>
    <t>b_range_year0_b</t>
  </si>
  <si>
    <t>b_degradation_b</t>
  </si>
  <si>
    <t>b_packreplace_b</t>
  </si>
  <si>
    <t>b_cellreplace_b</t>
  </si>
  <si>
    <t>b_range_year0_c</t>
  </si>
  <si>
    <t>b_degradation_c</t>
  </si>
  <si>
    <t>b_packreplace_c</t>
  </si>
  <si>
    <t>b_cellreplace_c</t>
  </si>
  <si>
    <t>Mean</t>
  </si>
  <si>
    <t>prob.</t>
  </si>
  <si>
    <t>no_choice</t>
  </si>
  <si>
    <t>range_year0</t>
  </si>
  <si>
    <t>degradation</t>
  </si>
  <si>
    <t>packreplace</t>
  </si>
  <si>
    <t>cellreplace</t>
  </si>
  <si>
    <t>class_1</t>
  </si>
  <si>
    <t>class_2</t>
  </si>
  <si>
    <t>class_3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</si>
</sst>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00"/>
  </numFmts>
  <fonts count="23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color theme="1"/>
      <name val="Aptos Narrow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9"/>
      <color theme="1"/>
      <name val="Aptos Narrow"/>
      <scheme val="minor"/>
    </font>
    <font>
      <sz val="12"/>
      <color theme="1"/>
      <name val="Aptos Narrow"/>
      <scheme val="minor"/>
    </font>
    <font>
      <sz val="11"/>
      <color indexed="8"/>
      <name val="Aptos Narrow"/>
      <scheme val="minor"/>
    </font>
    <font>
      <sz val="12"/>
      <name val="Aptos Narrow"/>
      <scheme val="minor"/>
    </font>
    <font>
      <b/>
      <sz val="11"/>
      <color indexed="8"/>
      <name val="Aptos Narrow"/>
      <scheme val="minor"/>
    </font>
    <font>
      <b/>
      <sz val="12"/>
      <name val="Aptos Narrow"/>
      <scheme val="minor"/>
    </font>
    <font>
      <sz val="12"/>
      <color rgb="FF1F1F1F"/>
      <name val="Calibri"/>
      <family val="2"/>
    </font>
    <font>
      <b/>
      <sz val="11"/>
      <color rgb="FFFFFFFF"/>
      <name val="Lucida Grande"/>
      <family val="2"/>
    </font>
    <font>
      <sz val="11"/>
      <color rgb="FFFFFFFF"/>
      <name val="Lucida Grande"/>
      <family val="2"/>
    </font>
    <font>
      <sz val="11"/>
      <color indexed="8"/>
      <name val="Lucida Grande"/>
      <family val="2"/>
    </font>
    <font>
      <sz val="11"/>
      <color theme="1"/>
      <name val="Aptos Narrow"/>
      <family val="2"/>
      <scheme val="minor"/>
    </font>
    <font>
      <b/>
      <sz val="11"/>
      <color theme="1"/>
      <name val="Lucida Grande"/>
      <family val="2"/>
    </font>
    <font>
      <sz val="11"/>
      <color theme="1"/>
      <name val="Lucida Grande"/>
      <family val="2"/>
    </font>
    <font>
      <sz val="18"/>
      <color indexed="8"/>
      <name val="Aptos Narrow"/>
      <family val="2"/>
      <scheme val="minor"/>
    </font>
    <font>
      <b/>
      <sz val="11"/>
      <color theme="0" tint="-0.14999847407452621"/>
      <name val="Aptos Narrow"/>
      <scheme val="minor"/>
    </font>
    <font>
      <i/>
      <sz val="9"/>
      <color theme="0" tint="-0.14999847407452621"/>
      <name val="Aptos Narrow"/>
      <scheme val="minor"/>
    </font>
    <font>
      <sz val="11"/>
      <color theme="0" tint="-0.1499984740745262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2" fillId="3" borderId="0" xfId="0" applyFont="1" applyFill="1" applyAlignment="1">
      <alignment wrapText="1"/>
    </xf>
    <xf numFmtId="0" fontId="3" fillId="0" borderId="0" xfId="0" applyFont="1"/>
    <xf numFmtId="9" fontId="4" fillId="0" borderId="0" xfId="1" applyFont="1" applyAlignment="1">
      <alignment wrapText="1"/>
    </xf>
    <xf numFmtId="1" fontId="4" fillId="0" borderId="0" xfId="0" applyNumberFormat="1" applyFont="1" applyAlignment="1">
      <alignment wrapText="1"/>
    </xf>
    <xf numFmtId="2" fontId="4" fillId="2" borderId="0" xfId="0" applyNumberFormat="1" applyFont="1" applyFill="1" applyAlignment="1">
      <alignment horizontal="center" wrapText="1"/>
    </xf>
    <xf numFmtId="2" fontId="4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9" fontId="6" fillId="0" borderId="0" xfId="1" applyFont="1" applyAlignment="1">
      <alignment wrapText="1"/>
    </xf>
    <xf numFmtId="1" fontId="6" fillId="0" borderId="0" xfId="0" applyNumberFormat="1" applyFont="1" applyAlignment="1">
      <alignment wrapText="1"/>
    </xf>
    <xf numFmtId="2" fontId="7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9" fontId="7" fillId="0" borderId="0" xfId="1" applyFont="1" applyAlignment="1">
      <alignment wrapText="1"/>
    </xf>
    <xf numFmtId="1" fontId="7" fillId="0" borderId="0" xfId="0" applyNumberFormat="1" applyFont="1" applyAlignment="1">
      <alignment wrapText="1"/>
    </xf>
    <xf numFmtId="2" fontId="3" fillId="0" borderId="0" xfId="0" applyNumberFormat="1" applyFont="1" applyAlignment="1">
      <alignment wrapText="1"/>
    </xf>
    <xf numFmtId="0" fontId="8" fillId="0" borderId="0" xfId="0" applyFont="1"/>
    <xf numFmtId="9" fontId="8" fillId="0" borderId="0" xfId="1" applyFont="1"/>
    <xf numFmtId="2" fontId="8" fillId="0" borderId="0" xfId="0" applyNumberFormat="1" applyFont="1"/>
    <xf numFmtId="1" fontId="8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11" fillId="0" borderId="0" xfId="0" applyFont="1"/>
    <xf numFmtId="0" fontId="8" fillId="0" borderId="0" xfId="0" applyFont="1" applyAlignment="1">
      <alignment wrapText="1"/>
    </xf>
    <xf numFmtId="0" fontId="12" fillId="0" borderId="0" xfId="0" applyFont="1"/>
    <xf numFmtId="2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4" borderId="0" xfId="0" applyFont="1" applyFill="1"/>
    <xf numFmtId="164" fontId="0" fillId="0" borderId="0" xfId="0" applyNumberFormat="1"/>
    <xf numFmtId="0" fontId="16" fillId="0" borderId="0" xfId="0" applyFont="1"/>
    <xf numFmtId="0" fontId="17" fillId="0" borderId="0" xfId="0" applyFont="1"/>
    <xf numFmtId="0" fontId="18" fillId="0" borderId="0" xfId="0" applyFont="1"/>
    <xf numFmtId="9" fontId="18" fillId="0" borderId="0" xfId="1" applyFont="1"/>
    <xf numFmtId="2" fontId="17" fillId="0" borderId="0" xfId="0" applyNumberFormat="1" applyFont="1"/>
    <xf numFmtId="2" fontId="18" fillId="0" borderId="0" xfId="0" applyNumberFormat="1" applyFont="1"/>
    <xf numFmtId="6" fontId="6" fillId="0" borderId="0" xfId="0" applyNumberFormat="1" applyFont="1" applyAlignment="1">
      <alignment wrapText="1"/>
    </xf>
    <xf numFmtId="2" fontId="17" fillId="0" borderId="0" xfId="0" applyNumberFormat="1" applyFont="1" applyAlignment="1">
      <alignment wrapText="1"/>
    </xf>
    <xf numFmtId="2" fontId="8" fillId="0" borderId="0" xfId="0" applyNumberFormat="1" applyFont="1" applyAlignment="1">
      <alignment wrapText="1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9" fontId="18" fillId="0" borderId="0" xfId="1" applyFont="1" applyAlignment="1">
      <alignment wrapText="1"/>
    </xf>
    <xf numFmtId="2" fontId="4" fillId="0" borderId="0" xfId="0" applyNumberFormat="1" applyFont="1" applyAlignment="1">
      <alignment horizontal="center" wrapText="1"/>
    </xf>
    <xf numFmtId="1" fontId="8" fillId="0" borderId="0" xfId="0" applyNumberFormat="1" applyFont="1" applyAlignment="1">
      <alignment wrapText="1"/>
    </xf>
    <xf numFmtId="0" fontId="19" fillId="2" borderId="0" xfId="0" applyFont="1" applyFill="1"/>
    <xf numFmtId="0" fontId="20" fillId="2" borderId="0" xfId="0" applyFont="1" applyFill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2" fillId="0" borderId="0" xfId="0" applyFont="1"/>
    <xf numFmtId="2" fontId="5" fillId="0" borderId="0" xfId="0" applyNumberFormat="1" applyFont="1" applyAlignment="1">
      <alignment wrapText="1"/>
    </xf>
    <xf numFmtId="2" fontId="16" fillId="0" borderId="0" xfId="0" applyNumberFormat="1" applyFont="1" applyAlignment="1">
      <alignment wrapText="1"/>
    </xf>
    <xf numFmtId="2" fontId="16" fillId="0" borderId="0" xfId="0" applyNumberFormat="1" applyFont="1"/>
    <xf numFmtId="1" fontId="5" fillId="0" borderId="0" xfId="0" applyNumberFormat="1" applyFont="1" applyAlignment="1">
      <alignment wrapText="1"/>
    </xf>
    <xf numFmtId="1" fontId="17" fillId="0" borderId="0" xfId="0" applyNumberFormat="1" applyFont="1"/>
    <xf numFmtId="1" fontId="3" fillId="0" borderId="0" xfId="0" applyNumberFormat="1" applyFont="1" applyAlignment="1">
      <alignment wrapText="1"/>
    </xf>
    <xf numFmtId="1" fontId="18" fillId="0" borderId="0" xfId="0" applyNumberFormat="1" applyFont="1"/>
    <xf numFmtId="1" fontId="13" fillId="0" borderId="0" xfId="0" applyNumberFormat="1" applyFont="1" applyAlignment="1">
      <alignment wrapText="1"/>
    </xf>
    <xf numFmtId="1" fontId="16" fillId="0" borderId="0" xfId="0" applyNumberFormat="1" applyFont="1" applyAlignment="1">
      <alignment wrapText="1"/>
    </xf>
    <xf numFmtId="1" fontId="16" fillId="0" borderId="0" xfId="0" applyNumberFormat="1" applyFont="1"/>
    <xf numFmtId="0" fontId="10" fillId="0" borderId="0" xfId="0" applyFont="1" applyAlignment="1">
      <alignment wrapText="1"/>
    </xf>
    <xf numFmtId="9" fontId="8" fillId="0" borderId="0" xfId="1" applyFont="1" applyAlignment="1">
      <alignment wrapText="1"/>
    </xf>
    <xf numFmtId="2" fontId="18" fillId="5" borderId="0" xfId="0" applyNumberFormat="1" applyFont="1" applyFill="1"/>
    <xf numFmtId="2" fontId="0" fillId="5" borderId="0" xfId="0" applyNumberFormat="1" applyFill="1"/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2" fontId="4" fillId="2" borderId="0" xfId="0" applyNumberFormat="1" applyFont="1" applyFill="1" applyAlignment="1">
      <alignment horizontal="center" wrapText="1"/>
    </xf>
    <xf numFmtId="2" fontId="0" fillId="2" borderId="0" xfId="0" applyNumberFormat="1" applyFill="1"/>
    <xf numFmtId="2" fontId="10" fillId="0" borderId="0" xfId="0" applyNumberFormat="1" applyFont="1"/>
    <xf numFmtId="2" fontId="11" fillId="0" borderId="0" xfId="0" applyNumberFormat="1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</xdr:row>
      <xdr:rowOff>0</xdr:rowOff>
    </xdr:from>
    <xdr:to>
      <xdr:col>22</xdr:col>
      <xdr:colOff>342900</xdr:colOff>
      <xdr:row>36</xdr:row>
      <xdr:rowOff>128524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6CA140-5C37-4F37-93A1-380A1A75C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25200" y="190500"/>
          <a:ext cx="7772400" cy="7202424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0</xdr:rowOff>
    </xdr:from>
    <xdr:to>
      <xdr:col>22</xdr:col>
      <xdr:colOff>342900</xdr:colOff>
      <xdr:row>51</xdr:row>
      <xdr:rowOff>113532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D834614-C959-3A97-7E2E-51ACC122B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25200" y="7835900"/>
          <a:ext cx="7772400" cy="23995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0</xdr:col>
      <xdr:colOff>4000500</xdr:colOff>
      <xdr:row>25</xdr:row>
      <xdr:rowOff>4233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99E9AE-110E-3548-BB93-6A7A0858A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13000"/>
          <a:ext cx="4000500" cy="26712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A627A-5459-5940-997D-EC9F00CC1B19}">
  <dimension ref="A1:I34"/>
  <sheetViews>
    <sheetView workbookViewId="0">
      <selection activeCell="I4" sqref="I4:I10"/>
    </sheetView>
  </sheetViews>
  <sheetFormatPr baseColWidth="10" defaultRowHeight="15"/>
  <cols>
    <col min="1" max="1" width="16" style="26" customWidth="1"/>
    <col min="2" max="16384" width="10.83203125" style="26"/>
  </cols>
  <sheetData>
    <row r="1" spans="1:9">
      <c r="A1" s="69" t="s">
        <v>102</v>
      </c>
    </row>
    <row r="2" spans="1:9" ht="16" customHeight="1"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</row>
    <row r="3" spans="1:9">
      <c r="A3" s="26" t="s">
        <v>109</v>
      </c>
      <c r="B3" s="26">
        <v>-5.0045006659382203</v>
      </c>
      <c r="C3" s="26">
        <v>0.25027928462875298</v>
      </c>
      <c r="D3" s="26">
        <v>-19.995664736542398</v>
      </c>
      <c r="E3" s="26">
        <v>0</v>
      </c>
      <c r="F3" s="26">
        <v>0.30320232572105199</v>
      </c>
      <c r="G3" s="26">
        <v>-16.505482449835799</v>
      </c>
      <c r="H3" s="26">
        <v>0</v>
      </c>
    </row>
    <row r="4" spans="1:9">
      <c r="A4" s="26" t="s">
        <v>110</v>
      </c>
      <c r="B4" s="26">
        <v>-2.1287160894559198</v>
      </c>
      <c r="C4" s="26">
        <v>0.19296065284366501</v>
      </c>
      <c r="D4" s="26">
        <v>-11.031866124440301</v>
      </c>
      <c r="E4" s="26">
        <v>0</v>
      </c>
      <c r="F4" s="26">
        <v>0.26432083446274701</v>
      </c>
      <c r="G4" s="26">
        <v>-8.0535312087020898</v>
      </c>
      <c r="H4" s="26">
        <v>8.8817841970012504E-16</v>
      </c>
      <c r="I4" s="26">
        <f>B4/B$10</f>
        <v>2.4819885390411764</v>
      </c>
    </row>
    <row r="5" spans="1:9">
      <c r="A5" s="26" t="s">
        <v>111</v>
      </c>
      <c r="B5" s="26">
        <v>-0.37718190415545999</v>
      </c>
      <c r="C5" s="26">
        <v>8.6328114316743101E-2</v>
      </c>
      <c r="D5" s="26">
        <v>-4.3691664892801496</v>
      </c>
      <c r="E5" s="26">
        <v>1.2472165646038E-5</v>
      </c>
      <c r="F5" s="26">
        <v>0.109485180184051</v>
      </c>
      <c r="G5" s="26">
        <v>-3.4450498553447599</v>
      </c>
      <c r="H5" s="26">
        <v>5.7095407294838196E-4</v>
      </c>
      <c r="I5" s="26">
        <f t="shared" ref="I5:I10" si="0">B5/B$10</f>
        <v>0.43977736997649758</v>
      </c>
    </row>
    <row r="6" spans="1:9">
      <c r="A6" s="26" t="s">
        <v>112</v>
      </c>
      <c r="B6" s="26">
        <v>0.42829151585009001</v>
      </c>
      <c r="C6" s="26">
        <v>0.113289358529581</v>
      </c>
      <c r="D6" s="26">
        <v>3.7805096737153798</v>
      </c>
      <c r="E6" s="26">
        <v>1.5650763779428999E-4</v>
      </c>
      <c r="F6" s="26">
        <v>0.14625631285084201</v>
      </c>
      <c r="G6" s="26">
        <v>2.9283625951030099</v>
      </c>
      <c r="H6" s="26">
        <v>3.4075240688706799E-3</v>
      </c>
      <c r="I6" s="26">
        <f t="shared" si="0"/>
        <v>-0.49936891019609503</v>
      </c>
    </row>
    <row r="7" spans="1:9">
      <c r="A7" s="26" t="s">
        <v>113</v>
      </c>
      <c r="B7" s="26">
        <v>-0.17531716884319801</v>
      </c>
      <c r="C7" s="26">
        <v>2.51218082216687E-2</v>
      </c>
      <c r="D7" s="26">
        <v>-6.9786843087186101</v>
      </c>
      <c r="E7" s="26">
        <v>2.979616553489E-12</v>
      </c>
      <c r="F7" s="26">
        <v>2.9405132758158498E-2</v>
      </c>
      <c r="G7" s="26">
        <v>-5.9621281184168602</v>
      </c>
      <c r="H7" s="26">
        <v>2.4897381933897102E-9</v>
      </c>
      <c r="I7" s="26">
        <f t="shared" si="0"/>
        <v>0.20441204250829936</v>
      </c>
    </row>
    <row r="8" spans="1:9">
      <c r="A8" s="26" t="s">
        <v>114</v>
      </c>
      <c r="B8" s="26">
        <v>-9.1764899236797801E-2</v>
      </c>
      <c r="C8" s="26">
        <v>1.4432679596191799E-2</v>
      </c>
      <c r="D8" s="26">
        <v>-6.3581331952391604</v>
      </c>
      <c r="E8" s="26">
        <v>2.0422041835388401E-10</v>
      </c>
      <c r="F8" s="26">
        <v>1.5176850815058899E-2</v>
      </c>
      <c r="G8" s="26">
        <v>-6.0463728842709603</v>
      </c>
      <c r="H8" s="26">
        <v>1.48143008971147E-9</v>
      </c>
      <c r="I8" s="26">
        <f t="shared" si="0"/>
        <v>0.10699380218909969</v>
      </c>
    </row>
    <row r="9" spans="1:9">
      <c r="A9" s="26" t="s">
        <v>115</v>
      </c>
      <c r="B9" s="26">
        <v>-0.70951504536134402</v>
      </c>
      <c r="C9" s="26">
        <v>0.107027155772644</v>
      </c>
      <c r="D9" s="26">
        <v>-6.6292992674546296</v>
      </c>
      <c r="E9" s="26">
        <v>3.3728353443507298E-11</v>
      </c>
      <c r="F9" s="26">
        <v>0.112756217420618</v>
      </c>
      <c r="G9" s="26">
        <v>-6.29246937855868</v>
      </c>
      <c r="H9" s="26">
        <v>3.12454950801566E-10</v>
      </c>
      <c r="I9" s="26">
        <f t="shared" si="0"/>
        <v>0.82726307166411928</v>
      </c>
    </row>
    <row r="10" spans="1:9">
      <c r="A10" s="26" t="s">
        <v>116</v>
      </c>
      <c r="B10" s="26">
        <v>-0.85766555967992897</v>
      </c>
      <c r="C10" s="26">
        <v>5.88482546822078E-2</v>
      </c>
      <c r="D10" s="26">
        <v>-14.574188551750501</v>
      </c>
      <c r="E10" s="26">
        <v>0</v>
      </c>
      <c r="F10" s="26">
        <v>7.7952628126673806E-2</v>
      </c>
      <c r="G10" s="26">
        <v>-11.0023944065903</v>
      </c>
      <c r="H10" s="26">
        <v>0</v>
      </c>
      <c r="I10" s="26">
        <f t="shared" si="0"/>
        <v>1</v>
      </c>
    </row>
    <row r="13" spans="1:9">
      <c r="A13" s="69" t="s">
        <v>103</v>
      </c>
    </row>
    <row r="14" spans="1:9">
      <c r="B14" s="26" t="s">
        <v>83</v>
      </c>
      <c r="C14" s="26" t="s">
        <v>84</v>
      </c>
      <c r="D14" s="26" t="s">
        <v>85</v>
      </c>
      <c r="E14" s="26" t="s">
        <v>86</v>
      </c>
      <c r="F14" s="26" t="s">
        <v>87</v>
      </c>
      <c r="G14" s="26" t="s">
        <v>88</v>
      </c>
      <c r="H14" s="26" t="s">
        <v>89</v>
      </c>
    </row>
    <row r="15" spans="1:9">
      <c r="A15" s="26" t="s">
        <v>109</v>
      </c>
      <c r="B15" s="26">
        <v>-4.7202260898395103</v>
      </c>
      <c r="C15" s="26">
        <v>0.22876577344010601</v>
      </c>
      <c r="D15" s="26">
        <v>-20.633445374534201</v>
      </c>
      <c r="E15" s="26">
        <v>0</v>
      </c>
      <c r="F15" s="26">
        <v>0.29710528667388197</v>
      </c>
      <c r="G15" s="26">
        <v>-15.887385050204999</v>
      </c>
      <c r="H15" s="26">
        <v>0</v>
      </c>
    </row>
    <row r="16" spans="1:9">
      <c r="A16" s="26" t="s">
        <v>110</v>
      </c>
      <c r="B16" s="26">
        <v>-1.94128182004157</v>
      </c>
      <c r="C16" s="26">
        <v>0.24380465782203201</v>
      </c>
      <c r="D16" s="26">
        <v>-7.9624476307529397</v>
      </c>
      <c r="E16" s="26">
        <v>1.7763568394002501E-15</v>
      </c>
      <c r="F16" s="26">
        <v>0.32299294085911101</v>
      </c>
      <c r="G16" s="26">
        <v>-6.0102917880436104</v>
      </c>
      <c r="H16" s="26">
        <v>1.8518970801295601E-9</v>
      </c>
    </row>
    <row r="17" spans="1:8">
      <c r="A17" s="26" t="s">
        <v>111</v>
      </c>
      <c r="B17" s="26">
        <v>-0.141113449809259</v>
      </c>
      <c r="C17" s="26">
        <v>6.8211802494865997E-2</v>
      </c>
      <c r="D17" s="26">
        <v>-2.0687541546769701</v>
      </c>
      <c r="E17" s="26">
        <v>3.8569162513471401E-2</v>
      </c>
      <c r="F17" s="26">
        <v>9.2923831248923297E-2</v>
      </c>
      <c r="G17" s="26">
        <v>-1.5185926786772901</v>
      </c>
      <c r="H17" s="26">
        <v>0.12886505514252899</v>
      </c>
    </row>
    <row r="18" spans="1:8">
      <c r="A18" s="26" t="s">
        <v>112</v>
      </c>
      <c r="B18" s="26">
        <v>0.33272832138501302</v>
      </c>
      <c r="C18" s="26">
        <v>8.9438654525143296E-2</v>
      </c>
      <c r="D18" s="26">
        <v>3.7201847808597699</v>
      </c>
      <c r="E18" s="26">
        <v>1.99077071961096E-4</v>
      </c>
      <c r="F18" s="26">
        <v>0.111797040303221</v>
      </c>
      <c r="G18" s="26">
        <v>2.9761818424045301</v>
      </c>
      <c r="H18" s="26">
        <v>2.9186174621336201E-3</v>
      </c>
    </row>
    <row r="19" spans="1:8">
      <c r="A19" s="26" t="s">
        <v>113</v>
      </c>
      <c r="B19" s="26">
        <v>-0.233087254459381</v>
      </c>
      <c r="C19" s="26">
        <v>2.3425738165492701E-2</v>
      </c>
      <c r="D19" s="26">
        <v>-9.9500495059203597</v>
      </c>
      <c r="E19" s="26">
        <v>0</v>
      </c>
      <c r="F19" s="26">
        <v>2.69797065937992E-2</v>
      </c>
      <c r="G19" s="26">
        <v>-8.6393546812310902</v>
      </c>
      <c r="H19" s="26">
        <v>0</v>
      </c>
    </row>
    <row r="20" spans="1:8">
      <c r="A20" s="26" t="s">
        <v>114</v>
      </c>
      <c r="B20" s="26">
        <v>-9.7896835409067406E-2</v>
      </c>
      <c r="C20" s="26">
        <v>1.30249640816937E-2</v>
      </c>
      <c r="D20" s="26">
        <v>-7.5160925431386802</v>
      </c>
      <c r="E20" s="26">
        <v>5.6399329650958003E-14</v>
      </c>
      <c r="F20" s="26">
        <v>1.42569452980775E-2</v>
      </c>
      <c r="G20" s="26">
        <v>-6.8666066511644797</v>
      </c>
      <c r="H20" s="26">
        <v>6.5747407518301803E-12</v>
      </c>
    </row>
    <row r="21" spans="1:8">
      <c r="A21" s="26" t="s">
        <v>115</v>
      </c>
      <c r="B21" s="26">
        <v>-0.51133033579905995</v>
      </c>
      <c r="C21" s="26">
        <v>8.7186057427708394E-2</v>
      </c>
      <c r="D21" s="26">
        <v>-5.8648177344529699</v>
      </c>
      <c r="E21" s="26">
        <v>4.4962631395861796E-9</v>
      </c>
      <c r="F21" s="26">
        <v>0.10130962565949</v>
      </c>
      <c r="G21" s="26">
        <v>-5.0472038808797999</v>
      </c>
      <c r="H21" s="26">
        <v>4.4832286039131501E-7</v>
      </c>
    </row>
    <row r="22" spans="1:8">
      <c r="A22" s="26" t="s">
        <v>116</v>
      </c>
      <c r="B22" s="26">
        <v>-0.66356797313928395</v>
      </c>
      <c r="C22" s="26">
        <v>4.4810854331549098E-2</v>
      </c>
      <c r="D22" s="26">
        <v>-14.8081973226763</v>
      </c>
      <c r="E22" s="26">
        <v>0</v>
      </c>
      <c r="F22" s="26">
        <v>6.19641774410827E-2</v>
      </c>
      <c r="G22" s="26">
        <v>-10.7088966648548</v>
      </c>
      <c r="H22" s="26">
        <v>0</v>
      </c>
    </row>
    <row r="27" spans="1:8" ht="16">
      <c r="B27" s="68" t="s">
        <v>34</v>
      </c>
      <c r="C27" s="68"/>
      <c r="D27" s="68"/>
      <c r="E27" s="68"/>
      <c r="F27" s="68"/>
      <c r="G27" s="68"/>
      <c r="H27" s="68"/>
    </row>
    <row r="28" spans="1:8" ht="17">
      <c r="B28" s="6" t="s">
        <v>42</v>
      </c>
      <c r="C28" s="22" t="s">
        <v>52</v>
      </c>
      <c r="D28" s="22" t="s">
        <v>53</v>
      </c>
      <c r="E28" s="22" t="s">
        <v>54</v>
      </c>
      <c r="F28" s="23" t="s">
        <v>43</v>
      </c>
      <c r="G28" s="22" t="s">
        <v>55</v>
      </c>
      <c r="H28" s="22" t="s">
        <v>56</v>
      </c>
    </row>
    <row r="29" spans="1:8" ht="42">
      <c r="B29" s="9"/>
      <c r="C29" s="8"/>
      <c r="D29" s="9"/>
      <c r="E29" s="9" t="s">
        <v>48</v>
      </c>
      <c r="F29" s="9" t="s">
        <v>47</v>
      </c>
      <c r="G29" s="9" t="s">
        <v>58</v>
      </c>
      <c r="H29" s="9" t="s">
        <v>57</v>
      </c>
    </row>
    <row r="30" spans="1:8">
      <c r="B30" s="9"/>
      <c r="C30" s="8"/>
      <c r="D30" s="9"/>
      <c r="E30" s="9"/>
      <c r="F30" s="9"/>
      <c r="G30" s="9"/>
      <c r="H30" s="9"/>
    </row>
    <row r="31" spans="1:8" ht="16">
      <c r="A31" s="26" t="s">
        <v>102</v>
      </c>
      <c r="B31" s="26">
        <v>-5.0045006659382203</v>
      </c>
      <c r="C31" s="19">
        <v>-2.4819884999999999</v>
      </c>
      <c r="D31" s="19">
        <v>-0.43977739999999998</v>
      </c>
      <c r="E31" s="19">
        <v>0.4993689</v>
      </c>
      <c r="F31" s="21">
        <v>-0.20441200000000001</v>
      </c>
      <c r="G31" s="19">
        <v>-0.1069938</v>
      </c>
      <c r="H31" s="19">
        <v>-0.82726310000000003</v>
      </c>
    </row>
    <row r="32" spans="1:8">
      <c r="A32" s="26" t="s">
        <v>103</v>
      </c>
      <c r="B32" s="26">
        <v>-4.7202260898395103</v>
      </c>
      <c r="C32" s="19">
        <v>-2.9255206999999999</v>
      </c>
      <c r="D32" s="19">
        <v>-0.2126586</v>
      </c>
      <c r="E32" s="19">
        <v>0.50142310000000001</v>
      </c>
      <c r="F32" s="19">
        <v>-0.35126360000000001</v>
      </c>
      <c r="G32" s="19">
        <v>-0.147531</v>
      </c>
      <c r="H32" s="19">
        <v>-0.77057719999999996</v>
      </c>
    </row>
    <row r="33" spans="2:8">
      <c r="E33" s="65"/>
      <c r="G33" s="19"/>
      <c r="H33" s="19"/>
    </row>
    <row r="34" spans="2:8">
      <c r="B34" s="19"/>
      <c r="C34" s="19"/>
      <c r="D34" s="19"/>
      <c r="E34" s="19"/>
      <c r="F34" s="19"/>
      <c r="G34" s="19"/>
      <c r="H34" s="19"/>
    </row>
  </sheetData>
  <mergeCells count="1">
    <mergeCell ref="B27:H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DF6A-25E5-2845-B540-C906C026AC2D}">
  <dimension ref="A1:H34"/>
  <sheetViews>
    <sheetView topLeftCell="A21" workbookViewId="0">
      <selection activeCell="I40" sqref="I40"/>
    </sheetView>
  </sheetViews>
  <sheetFormatPr baseColWidth="10" defaultRowHeight="15"/>
  <cols>
    <col min="1" max="1" width="16" style="26" customWidth="1"/>
    <col min="2" max="16384" width="10.83203125" style="26"/>
  </cols>
  <sheetData>
    <row r="1" spans="1:8">
      <c r="A1" s="69" t="s">
        <v>102</v>
      </c>
    </row>
    <row r="2" spans="1:8" ht="16" customHeight="1"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</row>
    <row r="3" spans="1:8">
      <c r="A3" s="26" t="s">
        <v>109</v>
      </c>
      <c r="B3" s="26">
        <v>-5.0045045150101704</v>
      </c>
      <c r="C3" s="26">
        <v>0.25027932664024</v>
      </c>
      <c r="D3" s="26">
        <v>-19.995676759206798</v>
      </c>
      <c r="E3" s="26">
        <v>0</v>
      </c>
      <c r="F3" s="26">
        <v>0.30320239844128999</v>
      </c>
      <c r="G3" s="26">
        <v>-16.505491185879301</v>
      </c>
      <c r="H3" s="26">
        <v>0</v>
      </c>
    </row>
    <row r="4" spans="1:8">
      <c r="A4" s="26" t="s">
        <v>110</v>
      </c>
      <c r="B4" s="26">
        <v>2.4819854517854898</v>
      </c>
      <c r="C4" s="26">
        <v>0.267472461367803</v>
      </c>
      <c r="D4" s="26">
        <v>9.2794055847584893</v>
      </c>
      <c r="E4" s="26">
        <v>0</v>
      </c>
      <c r="F4" s="26">
        <v>0.377215782171335</v>
      </c>
      <c r="G4" s="26">
        <v>6.57974975887449</v>
      </c>
      <c r="H4" s="26">
        <v>4.7124082414029499E-11</v>
      </c>
    </row>
    <row r="5" spans="1:8">
      <c r="A5" s="26" t="s">
        <v>111</v>
      </c>
      <c r="B5" s="26">
        <v>0.43977955300725102</v>
      </c>
      <c r="C5" s="26">
        <v>0.10468278127423999</v>
      </c>
      <c r="D5" s="26">
        <v>4.2010686729382201</v>
      </c>
      <c r="E5" s="26">
        <v>2.6565798640243399E-5</v>
      </c>
      <c r="F5" s="26">
        <v>0.13360408216595801</v>
      </c>
      <c r="G5" s="26">
        <v>3.29166254412028</v>
      </c>
      <c r="H5" s="26">
        <v>9.9597042519006295E-4</v>
      </c>
    </row>
    <row r="6" spans="1:8">
      <c r="A6" s="26" t="s">
        <v>112</v>
      </c>
      <c r="B6" s="26">
        <v>-0.499364401818649</v>
      </c>
      <c r="C6" s="26">
        <v>0.13368466865846601</v>
      </c>
      <c r="D6" s="26">
        <v>-3.7353902046494998</v>
      </c>
      <c r="E6" s="26">
        <v>1.8742434115370801E-4</v>
      </c>
      <c r="F6" s="26">
        <v>0.17766453683161201</v>
      </c>
      <c r="G6" s="26">
        <v>-2.8107151304592701</v>
      </c>
      <c r="H6" s="26">
        <v>4.9431530366070798E-3</v>
      </c>
    </row>
    <row r="7" spans="1:8">
      <c r="A7" s="26" t="s">
        <v>113</v>
      </c>
      <c r="B7" s="26">
        <v>0.20441265994548199</v>
      </c>
      <c r="C7" s="26">
        <v>3.1668354103407299E-2</v>
      </c>
      <c r="D7" s="26">
        <v>6.4547926702477101</v>
      </c>
      <c r="E7" s="26">
        <v>1.08367093076822E-10</v>
      </c>
      <c r="F7" s="26">
        <v>3.7786752352392997E-2</v>
      </c>
      <c r="G7" s="26">
        <v>5.4096382255655104</v>
      </c>
      <c r="H7" s="26">
        <v>6.3152191920323704E-8</v>
      </c>
    </row>
    <row r="8" spans="1:8">
      <c r="A8" s="26" t="s">
        <v>114</v>
      </c>
      <c r="B8" s="26">
        <v>0.106994006327932</v>
      </c>
      <c r="C8" s="26">
        <v>1.8023214218642499E-2</v>
      </c>
      <c r="D8" s="26">
        <v>5.9364553419812198</v>
      </c>
      <c r="E8" s="26">
        <v>2.9125020173381699E-9</v>
      </c>
      <c r="F8" s="26">
        <v>2.0560135367759198E-2</v>
      </c>
      <c r="G8" s="26">
        <v>5.2039543716094201</v>
      </c>
      <c r="H8" s="26">
        <v>1.9509192683564399E-7</v>
      </c>
    </row>
    <row r="9" spans="1:8">
      <c r="A9" s="26" t="s">
        <v>115</v>
      </c>
      <c r="B9" s="26">
        <v>0.82726623838640601</v>
      </c>
      <c r="C9" s="26">
        <v>0.134299250169023</v>
      </c>
      <c r="D9" s="26">
        <v>6.1598723547990701</v>
      </c>
      <c r="E9" s="26">
        <v>7.2803607586990903E-10</v>
      </c>
      <c r="F9" s="26">
        <v>0.14345650405930899</v>
      </c>
      <c r="G9" s="26">
        <v>5.7666694431950498</v>
      </c>
      <c r="H9" s="26">
        <v>8.0853415074244595E-9</v>
      </c>
    </row>
    <row r="10" spans="1:8">
      <c r="A10" s="26" t="s">
        <v>117</v>
      </c>
      <c r="B10" s="26">
        <v>-0.85766509973989902</v>
      </c>
      <c r="C10" s="26">
        <v>5.8848269539776697E-2</v>
      </c>
      <c r="D10" s="26">
        <v>-14.5741770564755</v>
      </c>
      <c r="E10" s="26">
        <v>0</v>
      </c>
      <c r="F10" s="26">
        <v>7.79526592792774E-2</v>
      </c>
      <c r="G10" s="26">
        <v>-11.0023841094013</v>
      </c>
      <c r="H10" s="26">
        <v>0</v>
      </c>
    </row>
    <row r="13" spans="1:8">
      <c r="A13" s="69" t="s">
        <v>103</v>
      </c>
    </row>
    <row r="14" spans="1:8">
      <c r="B14" s="26" t="s">
        <v>83</v>
      </c>
      <c r="C14" s="26" t="s">
        <v>84</v>
      </c>
      <c r="D14" s="26" t="s">
        <v>85</v>
      </c>
      <c r="E14" s="26" t="s">
        <v>86</v>
      </c>
      <c r="F14" s="26" t="s">
        <v>87</v>
      </c>
      <c r="G14" s="26" t="s">
        <v>88</v>
      </c>
      <c r="H14" s="26" t="s">
        <v>89</v>
      </c>
    </row>
    <row r="15" spans="1:8">
      <c r="A15" s="26" t="s">
        <v>109</v>
      </c>
      <c r="B15" s="26">
        <v>-4.7202266861907702</v>
      </c>
      <c r="C15" s="26">
        <v>0.22876578235035899</v>
      </c>
      <c r="D15" s="26">
        <v>-20.633447177697501</v>
      </c>
      <c r="E15" s="26">
        <v>0</v>
      </c>
      <c r="F15" s="26">
        <v>0.29710538930832497</v>
      </c>
      <c r="G15" s="26">
        <v>-15.8873815691451</v>
      </c>
      <c r="H15" s="26">
        <v>0</v>
      </c>
    </row>
    <row r="16" spans="1:8">
      <c r="A16" s="26" t="s">
        <v>110</v>
      </c>
      <c r="B16" s="26">
        <v>2.9255105828363299</v>
      </c>
      <c r="C16" s="26">
        <v>0.39856921606599399</v>
      </c>
      <c r="D16" s="26">
        <v>7.3400314547923804</v>
      </c>
      <c r="E16" s="26">
        <v>2.1360690993787999E-13</v>
      </c>
      <c r="F16" s="26">
        <v>0.544271376810184</v>
      </c>
      <c r="G16" s="26">
        <v>5.3750954165216296</v>
      </c>
      <c r="H16" s="26">
        <v>7.6542137517066106E-8</v>
      </c>
    </row>
    <row r="17" spans="1:8">
      <c r="A17" s="26" t="s">
        <v>111</v>
      </c>
      <c r="B17" s="26">
        <v>0.21265454764581199</v>
      </c>
      <c r="C17" s="26">
        <v>0.103617826357168</v>
      </c>
      <c r="D17" s="26">
        <v>2.0522969369459401</v>
      </c>
      <c r="E17" s="26">
        <v>4.0140813516855098E-2</v>
      </c>
      <c r="F17" s="26">
        <v>0.14360440293559801</v>
      </c>
      <c r="G17" s="26">
        <v>1.48083584694253</v>
      </c>
      <c r="H17" s="26">
        <v>0.13865032162449101</v>
      </c>
    </row>
    <row r="18" spans="1:8">
      <c r="A18" s="26" t="s">
        <v>112</v>
      </c>
      <c r="B18" s="26">
        <v>-0.50142044513103601</v>
      </c>
      <c r="C18" s="26">
        <v>0.135753101893129</v>
      </c>
      <c r="D18" s="26">
        <v>-3.6936205371261202</v>
      </c>
      <c r="E18" s="26">
        <v>2.21083639523556E-4</v>
      </c>
      <c r="F18" s="26">
        <v>0.172235214716426</v>
      </c>
      <c r="G18" s="26">
        <v>-2.9112539265364101</v>
      </c>
      <c r="H18" s="26">
        <v>3.5998133347045999E-3</v>
      </c>
    </row>
    <row r="19" spans="1:8">
      <c r="A19" s="26" t="s">
        <v>113</v>
      </c>
      <c r="B19" s="26">
        <v>0.35126190362368398</v>
      </c>
      <c r="C19" s="26">
        <v>4.1267824027385297E-2</v>
      </c>
      <c r="D19" s="26">
        <v>8.5117621755532102</v>
      </c>
      <c r="E19" s="26">
        <v>0</v>
      </c>
      <c r="F19" s="26">
        <v>5.00401595584435E-2</v>
      </c>
      <c r="G19" s="26">
        <v>7.0195999917513197</v>
      </c>
      <c r="H19" s="26">
        <v>2.22510898595374E-12</v>
      </c>
    </row>
    <row r="20" spans="1:8">
      <c r="A20" s="26" t="s">
        <v>114</v>
      </c>
      <c r="B20" s="26">
        <v>0.14753066600800199</v>
      </c>
      <c r="C20" s="26">
        <v>2.1387009804946899E-2</v>
      </c>
      <c r="D20" s="26">
        <v>6.8981436560559803</v>
      </c>
      <c r="E20" s="26">
        <v>5.2686743856611396E-12</v>
      </c>
      <c r="F20" s="26">
        <v>2.3703242634579302E-2</v>
      </c>
      <c r="G20" s="26">
        <v>6.2240710388197202</v>
      </c>
      <c r="H20" s="26">
        <v>4.8441761713036199E-10</v>
      </c>
    </row>
    <row r="21" spans="1:8">
      <c r="A21" s="26" t="s">
        <v>115</v>
      </c>
      <c r="B21" s="26">
        <v>0.77057479161425502</v>
      </c>
      <c r="C21" s="26">
        <v>0.13986955411811799</v>
      </c>
      <c r="D21" s="26">
        <v>5.5092389224570804</v>
      </c>
      <c r="E21" s="26">
        <v>3.6038847461838901E-8</v>
      </c>
      <c r="F21" s="26">
        <v>0.16770063238483099</v>
      </c>
      <c r="G21" s="26">
        <v>4.59494267049618</v>
      </c>
      <c r="H21" s="26">
        <v>4.3286826210131596E-6</v>
      </c>
    </row>
    <row r="22" spans="1:8">
      <c r="A22" s="26" t="s">
        <v>117</v>
      </c>
      <c r="B22" s="26">
        <v>-0.66356912135207002</v>
      </c>
      <c r="C22" s="26">
        <v>4.4810852675414799E-2</v>
      </c>
      <c r="D22" s="26">
        <v>-14.808223493505</v>
      </c>
      <c r="E22" s="26">
        <v>0</v>
      </c>
      <c r="F22" s="26">
        <v>6.1964179744189503E-2</v>
      </c>
      <c r="G22" s="26">
        <v>-10.7089147970896</v>
      </c>
      <c r="H22" s="26">
        <v>0</v>
      </c>
    </row>
    <row r="27" spans="1:8" ht="16">
      <c r="B27" s="68" t="s">
        <v>34</v>
      </c>
      <c r="C27" s="68"/>
      <c r="D27" s="68"/>
      <c r="E27" s="68"/>
      <c r="F27" s="68"/>
      <c r="G27" s="68"/>
      <c r="H27" s="68"/>
    </row>
    <row r="28" spans="1:8" ht="17">
      <c r="B28" s="6" t="s">
        <v>42</v>
      </c>
      <c r="C28" s="70" t="s">
        <v>52</v>
      </c>
      <c r="D28" s="70" t="s">
        <v>53</v>
      </c>
      <c r="E28" s="70" t="s">
        <v>54</v>
      </c>
      <c r="F28" s="71" t="s">
        <v>43</v>
      </c>
      <c r="G28" s="70" t="s">
        <v>55</v>
      </c>
      <c r="H28" s="70" t="s">
        <v>56</v>
      </c>
    </row>
    <row r="29" spans="1:8" ht="42">
      <c r="B29" s="9"/>
      <c r="C29" s="9"/>
      <c r="D29" s="9"/>
      <c r="E29" s="9" t="s">
        <v>48</v>
      </c>
      <c r="F29" s="9" t="s">
        <v>47</v>
      </c>
      <c r="G29" s="9" t="s">
        <v>58</v>
      </c>
      <c r="H29" s="9" t="s">
        <v>57</v>
      </c>
    </row>
    <row r="30" spans="1:8">
      <c r="B30" s="9"/>
      <c r="C30" s="9"/>
      <c r="D30" s="9"/>
      <c r="E30" s="9"/>
      <c r="F30" s="9"/>
      <c r="G30" s="9"/>
      <c r="H30" s="9"/>
    </row>
    <row r="31" spans="1:8" ht="16">
      <c r="A31" s="26" t="s">
        <v>102</v>
      </c>
      <c r="B31" s="19">
        <v>-5.8350258000000004</v>
      </c>
      <c r="C31" s="19">
        <v>-2.4819884999999999</v>
      </c>
      <c r="D31" s="19">
        <v>-0.43977739999999998</v>
      </c>
      <c r="E31" s="19">
        <v>0.4993689</v>
      </c>
      <c r="F31" s="21">
        <v>-0.20441200000000001</v>
      </c>
      <c r="G31" s="19">
        <v>-0.1069938</v>
      </c>
      <c r="H31" s="19">
        <v>-0.82726310000000003</v>
      </c>
    </row>
    <row r="32" spans="1:8">
      <c r="A32" s="26" t="s">
        <v>103</v>
      </c>
      <c r="B32" s="19">
        <v>-7.1134025000000003</v>
      </c>
      <c r="C32" s="19">
        <v>-2.9255206999999999</v>
      </c>
      <c r="D32" s="19">
        <v>-0.2126586</v>
      </c>
      <c r="E32" s="19">
        <v>0.50142310000000001</v>
      </c>
      <c r="F32" s="19">
        <v>-0.35126360000000001</v>
      </c>
      <c r="G32" s="19">
        <v>-0.147531</v>
      </c>
      <c r="H32" s="19">
        <v>-0.77057719999999996</v>
      </c>
    </row>
    <row r="33" spans="2:8">
      <c r="E33" s="65"/>
      <c r="G33" s="19"/>
      <c r="H33" s="19"/>
    </row>
    <row r="34" spans="2:8">
      <c r="B34" s="19"/>
      <c r="C34" s="19"/>
      <c r="D34" s="19"/>
      <c r="E34" s="19"/>
      <c r="F34" s="19"/>
      <c r="G34" s="19"/>
      <c r="H34" s="19"/>
    </row>
  </sheetData>
  <mergeCells count="1">
    <mergeCell ref="B27:H2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"/>
  <sheetViews>
    <sheetView topLeftCell="A18" workbookViewId="0">
      <selection activeCell="J33" sqref="J33"/>
    </sheetView>
  </sheetViews>
  <sheetFormatPr baseColWidth="10" defaultColWidth="8.83203125" defaultRowHeight="15"/>
  <cols>
    <col min="1" max="1" width="24.83203125" customWidth="1"/>
    <col min="2" max="8" width="8.83203125" style="26"/>
    <col min="11" max="11" width="21.1640625" customWidth="1"/>
    <col min="18" max="20" width="8.83203125" style="31"/>
  </cols>
  <sheetData>
    <row r="1" spans="1:18" ht="24">
      <c r="A1" s="46" t="s">
        <v>102</v>
      </c>
      <c r="K1" s="46" t="s">
        <v>103</v>
      </c>
    </row>
    <row r="2" spans="1:18"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  <c r="K2" s="26"/>
      <c r="L2" s="26" t="s">
        <v>83</v>
      </c>
      <c r="M2" s="26" t="s">
        <v>84</v>
      </c>
      <c r="N2" s="26" t="s">
        <v>85</v>
      </c>
      <c r="O2" s="26" t="s">
        <v>86</v>
      </c>
      <c r="P2" s="26" t="s">
        <v>87</v>
      </c>
      <c r="Q2" s="26" t="s">
        <v>88</v>
      </c>
      <c r="R2" s="26" t="s">
        <v>89</v>
      </c>
    </row>
    <row r="3" spans="1:18">
      <c r="A3" t="s">
        <v>0</v>
      </c>
      <c r="B3" s="26">
        <v>-2.8210697933260902</v>
      </c>
      <c r="C3" s="26">
        <v>0.61131332265067395</v>
      </c>
      <c r="D3" s="26">
        <v>-4.6147690370853498</v>
      </c>
      <c r="E3" s="26">
        <v>3.93532700404542E-6</v>
      </c>
      <c r="F3" s="26">
        <v>1.24687719344449</v>
      </c>
      <c r="G3" s="26">
        <v>-2.2625081348492002</v>
      </c>
      <c r="H3" s="26">
        <v>2.3666026809194201E-2</v>
      </c>
      <c r="K3" s="26" t="s">
        <v>0</v>
      </c>
      <c r="L3" s="26">
        <v>-4.9587792154757402</v>
      </c>
      <c r="M3" s="26">
        <v>0.68348974326687595</v>
      </c>
      <c r="N3" s="26">
        <v>-7.2550894352478004</v>
      </c>
      <c r="O3" s="26">
        <v>4.0145664570445701E-13</v>
      </c>
      <c r="P3" s="26">
        <v>1.01261499334776</v>
      </c>
      <c r="Q3" s="26">
        <v>-4.8970035482901197</v>
      </c>
      <c r="R3" s="26">
        <v>9.7309081814600496E-7</v>
      </c>
    </row>
    <row r="4" spans="1:18">
      <c r="A4" t="s">
        <v>4</v>
      </c>
      <c r="B4" s="26">
        <v>-0.20215955567421801</v>
      </c>
      <c r="C4" s="26">
        <v>6.9767419046662102E-2</v>
      </c>
      <c r="D4" s="26">
        <v>-2.8976212455130299</v>
      </c>
      <c r="E4" s="26">
        <v>3.7600437038289901E-3</v>
      </c>
      <c r="F4" s="26">
        <v>0.105538869629435</v>
      </c>
      <c r="G4" s="26">
        <v>-1.91549858724122</v>
      </c>
      <c r="H4" s="26">
        <v>5.5428949140952297E-2</v>
      </c>
      <c r="K4" s="26" t="s">
        <v>1</v>
      </c>
      <c r="L4" s="26">
        <v>-4.4543465009717398</v>
      </c>
      <c r="M4" s="26">
        <v>0.85720958283236004</v>
      </c>
      <c r="N4" s="26">
        <v>-5.19633306740909</v>
      </c>
      <c r="O4" s="26">
        <v>2.03257952913205E-7</v>
      </c>
      <c r="P4" s="26">
        <v>1.1976995251073801</v>
      </c>
      <c r="Q4" s="26">
        <v>-3.71908513579179</v>
      </c>
      <c r="R4" s="26">
        <v>1.99945656745637E-4</v>
      </c>
    </row>
    <row r="5" spans="1:18">
      <c r="A5" t="s">
        <v>118</v>
      </c>
      <c r="B5" s="26">
        <v>2.46696174459563</v>
      </c>
      <c r="C5" s="26">
        <v>0.34872491667656502</v>
      </c>
      <c r="D5" s="26">
        <v>7.0742342362753599</v>
      </c>
      <c r="E5" s="26">
        <v>1.5027978861326101E-12</v>
      </c>
      <c r="F5" s="26">
        <v>0.58933372004652895</v>
      </c>
      <c r="G5" s="26">
        <v>4.1860183130211102</v>
      </c>
      <c r="H5" s="26">
        <v>2.8389045406473902E-5</v>
      </c>
      <c r="K5" s="26" t="s">
        <v>2</v>
      </c>
      <c r="L5" s="26">
        <v>-1.62671203236712</v>
      </c>
      <c r="M5" s="26">
        <v>0.27622206852694398</v>
      </c>
      <c r="N5" s="26">
        <v>-5.8891457914357197</v>
      </c>
      <c r="O5" s="26">
        <v>3.8819687464552999E-9</v>
      </c>
      <c r="P5" s="26">
        <v>0.53962598660314698</v>
      </c>
      <c r="Q5" s="26">
        <v>-3.0145175969137301</v>
      </c>
      <c r="R5" s="26">
        <v>2.5738827960486402E-3</v>
      </c>
    </row>
    <row r="6" spans="1:18">
      <c r="A6" t="s">
        <v>119</v>
      </c>
      <c r="B6" s="26">
        <v>-0.43317054495576601</v>
      </c>
      <c r="C6" s="26">
        <v>5.9234737518971597E-2</v>
      </c>
      <c r="D6" s="26">
        <v>-7.3127790060187401</v>
      </c>
      <c r="E6" s="26">
        <v>2.6156854460168698E-13</v>
      </c>
      <c r="F6" s="26">
        <v>0.12384670703493</v>
      </c>
      <c r="G6" s="26">
        <v>-3.4976347399660099</v>
      </c>
      <c r="H6" s="26">
        <v>4.69403532094681E-4</v>
      </c>
      <c r="K6" s="26" t="s">
        <v>3</v>
      </c>
      <c r="L6" s="26">
        <v>0.85726882553941297</v>
      </c>
      <c r="M6" s="26">
        <v>0.29850565316060201</v>
      </c>
      <c r="N6" s="26">
        <v>2.8718679745679299</v>
      </c>
      <c r="O6" s="26">
        <v>4.08053405113162E-3</v>
      </c>
      <c r="P6" s="26">
        <v>0.38306074960024</v>
      </c>
      <c r="Q6" s="26">
        <v>2.23794483364337</v>
      </c>
      <c r="R6" s="26">
        <v>2.52246528512787E-2</v>
      </c>
    </row>
    <row r="7" spans="1:18">
      <c r="A7" t="s">
        <v>120</v>
      </c>
      <c r="B7" s="26">
        <v>-0.63938483636285803</v>
      </c>
      <c r="C7" s="26">
        <v>0.214239648126933</v>
      </c>
      <c r="D7" s="26">
        <v>-2.9844374836913201</v>
      </c>
      <c r="E7" s="26">
        <v>2.84100249954466E-3</v>
      </c>
      <c r="F7" s="26">
        <v>0.34600351249689298</v>
      </c>
      <c r="G7" s="26">
        <v>-1.8479142935538799</v>
      </c>
      <c r="H7" s="26">
        <v>6.4614742430113795E-2</v>
      </c>
      <c r="K7" s="26" t="s">
        <v>4</v>
      </c>
      <c r="L7" s="26">
        <v>-0.25486976599978201</v>
      </c>
      <c r="M7" s="26">
        <v>7.4136077169943096E-2</v>
      </c>
      <c r="N7" s="26">
        <v>-3.4378642049746002</v>
      </c>
      <c r="O7" s="26">
        <v>5.8632165214200804E-4</v>
      </c>
      <c r="P7" s="26">
        <v>0.10186039147478999</v>
      </c>
      <c r="Q7" s="26">
        <v>-2.5021479135279101</v>
      </c>
      <c r="R7" s="26">
        <v>1.23442339687949E-2</v>
      </c>
    </row>
    <row r="8" spans="1:18">
      <c r="A8" t="s">
        <v>121</v>
      </c>
      <c r="B8" s="26">
        <v>-0.65333647995488098</v>
      </c>
      <c r="C8" s="26">
        <v>0.24443237101784601</v>
      </c>
      <c r="D8" s="26">
        <v>-2.6728721618757301</v>
      </c>
      <c r="E8" s="26">
        <v>7.5204903661745303E-3</v>
      </c>
      <c r="F8" s="26">
        <v>0.44803062467706001</v>
      </c>
      <c r="G8" s="26">
        <v>-1.45824067367226</v>
      </c>
      <c r="H8" s="26">
        <v>0.14477421627484499</v>
      </c>
      <c r="K8" s="26" t="s">
        <v>5</v>
      </c>
      <c r="L8" s="26">
        <v>-0.13190198577871701</v>
      </c>
      <c r="M8" s="26">
        <v>3.8988071865478403E-2</v>
      </c>
      <c r="N8" s="26">
        <v>-3.38313693054178</v>
      </c>
      <c r="O8" s="26">
        <v>7.16628920766738E-4</v>
      </c>
      <c r="P8" s="26">
        <v>4.9605953164532403E-2</v>
      </c>
      <c r="Q8" s="26">
        <v>-2.65899508756995</v>
      </c>
      <c r="R8" s="26">
        <v>7.8374105737521998E-3</v>
      </c>
    </row>
    <row r="9" spans="1:18">
      <c r="A9" t="s">
        <v>7</v>
      </c>
      <c r="B9" s="26">
        <v>-1.3240283555197701</v>
      </c>
      <c r="C9" s="26">
        <v>0.26651188468714798</v>
      </c>
      <c r="D9" s="26">
        <v>-4.9679899156242602</v>
      </c>
      <c r="E9" s="26">
        <v>6.76504798624578E-7</v>
      </c>
      <c r="F9" s="26">
        <v>0.58476139683927897</v>
      </c>
      <c r="G9" s="26">
        <v>-2.2642198385124899</v>
      </c>
      <c r="H9" s="26">
        <v>2.3560597009002301E-2</v>
      </c>
      <c r="K9" s="26" t="s">
        <v>6</v>
      </c>
      <c r="L9" s="26">
        <v>-0.86673502505039601</v>
      </c>
      <c r="M9" s="26">
        <v>0.246321150747422</v>
      </c>
      <c r="N9" s="26">
        <v>-3.51871945393414</v>
      </c>
      <c r="O9" s="26">
        <v>4.3363500362292301E-4</v>
      </c>
      <c r="P9" s="26">
        <v>0.25168684946200198</v>
      </c>
      <c r="Q9" s="26">
        <v>-3.4437040588457402</v>
      </c>
      <c r="R9" s="26">
        <v>5.7380340461898904E-4</v>
      </c>
    </row>
    <row r="10" spans="1:18">
      <c r="A10" t="s">
        <v>8</v>
      </c>
      <c r="B10" s="26">
        <v>1.00287086098402</v>
      </c>
      <c r="C10" s="26">
        <v>0.71104912265180498</v>
      </c>
      <c r="D10" s="26">
        <v>1.41041009549929</v>
      </c>
      <c r="E10" s="26">
        <v>0.15841862614108401</v>
      </c>
      <c r="F10" s="26">
        <v>0.81989778658916901</v>
      </c>
      <c r="G10" s="26">
        <v>1.22316571332145</v>
      </c>
      <c r="H10" s="26">
        <v>0.22126711276657501</v>
      </c>
      <c r="K10" s="26" t="s">
        <v>7</v>
      </c>
      <c r="L10" s="26">
        <v>-0.871613438005712</v>
      </c>
      <c r="M10" s="26">
        <v>0.13812931158584299</v>
      </c>
      <c r="N10" s="26">
        <v>-6.3101265618342701</v>
      </c>
      <c r="O10" s="26">
        <v>2.78807421594252E-10</v>
      </c>
      <c r="P10" s="26">
        <v>0.200966910196022</v>
      </c>
      <c r="Q10" s="26">
        <v>-4.3370992625380103</v>
      </c>
      <c r="R10" s="26">
        <v>1.4437543389256299E-5</v>
      </c>
    </row>
    <row r="11" spans="1:18">
      <c r="A11" t="s">
        <v>12</v>
      </c>
      <c r="B11" s="26">
        <v>-0.21987753725488601</v>
      </c>
      <c r="C11" s="26">
        <v>0.13399442660687</v>
      </c>
      <c r="D11" s="26">
        <v>-1.6409453946916099</v>
      </c>
      <c r="E11" s="26">
        <v>0.100808750747991</v>
      </c>
      <c r="F11" s="26">
        <v>0.18373975334711001</v>
      </c>
      <c r="G11" s="26">
        <v>-1.1966791793799101</v>
      </c>
      <c r="H11" s="26">
        <v>0.231431625339304</v>
      </c>
      <c r="K11" s="26" t="s">
        <v>8</v>
      </c>
      <c r="L11" s="26">
        <v>-5.7395893359606296</v>
      </c>
      <c r="M11" s="26">
        <v>0.52146183222174602</v>
      </c>
      <c r="N11" s="26">
        <v>-11.0067295079037</v>
      </c>
      <c r="O11" s="26">
        <v>0</v>
      </c>
      <c r="P11" s="26">
        <v>0.87744082681500402</v>
      </c>
      <c r="Q11" s="26">
        <v>-6.54128365190686</v>
      </c>
      <c r="R11" s="26">
        <v>6.0992988437647E-11</v>
      </c>
    </row>
    <row r="12" spans="1:18">
      <c r="A12" t="s">
        <v>122</v>
      </c>
      <c r="B12" s="26">
        <v>1.08413184596552</v>
      </c>
      <c r="C12" s="26">
        <v>0.33045232068379499</v>
      </c>
      <c r="D12" s="26">
        <v>3.2807511949746799</v>
      </c>
      <c r="E12" s="26">
        <v>1.03531028287462E-3</v>
      </c>
      <c r="F12" s="26">
        <v>0.54029200302200897</v>
      </c>
      <c r="G12" s="26">
        <v>2.0065665231053802</v>
      </c>
      <c r="H12" s="26">
        <v>4.4795838865117697E-2</v>
      </c>
      <c r="K12" s="26" t="s">
        <v>9</v>
      </c>
      <c r="L12" s="26">
        <v>0.25539179203443002</v>
      </c>
      <c r="M12" s="26">
        <v>0.402608483644113</v>
      </c>
      <c r="N12" s="26">
        <v>0.63434279805237503</v>
      </c>
      <c r="O12" s="26">
        <v>0.52585713159792102</v>
      </c>
      <c r="P12" s="26">
        <v>0.54521856593816898</v>
      </c>
      <c r="Q12" s="26">
        <v>0.46842093793151002</v>
      </c>
      <c r="R12" s="26">
        <v>0.639483597759397</v>
      </c>
    </row>
    <row r="13" spans="1:18">
      <c r="A13" t="s">
        <v>123</v>
      </c>
      <c r="B13" s="26">
        <v>-0.30464454073490099</v>
      </c>
      <c r="C13" s="26">
        <v>8.3064899067905498E-2</v>
      </c>
      <c r="D13" s="26">
        <v>-3.6675484368656699</v>
      </c>
      <c r="E13" s="26">
        <v>2.4488717107384899E-4</v>
      </c>
      <c r="F13" s="26">
        <v>0.115256507858976</v>
      </c>
      <c r="G13" s="26">
        <v>-2.64318732533224</v>
      </c>
      <c r="H13" s="26">
        <v>8.2129582754688606E-3</v>
      </c>
      <c r="K13" s="26" t="s">
        <v>10</v>
      </c>
      <c r="L13" s="26">
        <v>0.98439462705441005</v>
      </c>
      <c r="M13" s="26">
        <v>0.153153659448964</v>
      </c>
      <c r="N13" s="26">
        <v>6.4274966108951697</v>
      </c>
      <c r="O13" s="26">
        <v>1.2972245500009199E-10</v>
      </c>
      <c r="P13" s="26">
        <v>0.188355773400948</v>
      </c>
      <c r="Q13" s="26">
        <v>5.2262514139078498</v>
      </c>
      <c r="R13" s="26">
        <v>1.7298111409935799E-7</v>
      </c>
    </row>
    <row r="14" spans="1:18">
      <c r="A14" t="s">
        <v>124</v>
      </c>
      <c r="B14" s="26">
        <v>-0.41318425859059199</v>
      </c>
      <c r="C14" s="26">
        <v>0.35078314822017098</v>
      </c>
      <c r="D14" s="26">
        <v>-1.1778908442068501</v>
      </c>
      <c r="E14" s="26">
        <v>0.238840125641641</v>
      </c>
      <c r="F14" s="26">
        <v>0.42920132864204902</v>
      </c>
      <c r="G14" s="26">
        <v>-0.96268168576706503</v>
      </c>
      <c r="H14" s="26">
        <v>0.33570729025999102</v>
      </c>
      <c r="K14" s="26" t="s">
        <v>11</v>
      </c>
      <c r="L14" s="26">
        <v>0.181017564052906</v>
      </c>
      <c r="M14" s="26">
        <v>0.140795680132281</v>
      </c>
      <c r="N14" s="26">
        <v>1.2856755539860001</v>
      </c>
      <c r="O14" s="26">
        <v>0.198556316282477</v>
      </c>
      <c r="P14" s="26">
        <v>0.17666661713575099</v>
      </c>
      <c r="Q14" s="26">
        <v>1.02462800832266</v>
      </c>
      <c r="R14" s="26">
        <v>0.305538743697302</v>
      </c>
    </row>
    <row r="15" spans="1:18">
      <c r="A15" t="s">
        <v>125</v>
      </c>
      <c r="B15" s="26">
        <v>-0.96223249472052197</v>
      </c>
      <c r="C15" s="26">
        <v>0.40782710518763499</v>
      </c>
      <c r="D15" s="26">
        <v>-2.35941280626214</v>
      </c>
      <c r="E15" s="26">
        <v>1.83038817658767E-2</v>
      </c>
      <c r="F15" s="26">
        <v>0.45580993995064201</v>
      </c>
      <c r="G15" s="26">
        <v>-2.1110388571708598</v>
      </c>
      <c r="H15" s="26">
        <v>3.4768972099490598E-2</v>
      </c>
      <c r="K15" s="26" t="s">
        <v>12</v>
      </c>
      <c r="L15" s="26">
        <v>-0.20498256796290501</v>
      </c>
      <c r="M15" s="26">
        <v>4.5271033393136997E-2</v>
      </c>
      <c r="N15" s="26">
        <v>-4.5278968161124498</v>
      </c>
      <c r="O15" s="26">
        <v>5.9573657460454399E-6</v>
      </c>
      <c r="P15" s="26">
        <v>6.0690276439474798E-2</v>
      </c>
      <c r="Q15" s="26">
        <v>-3.3775191017185402</v>
      </c>
      <c r="R15" s="26">
        <v>7.31428727880568E-4</v>
      </c>
    </row>
    <row r="16" spans="1:18">
      <c r="A16" t="s">
        <v>15</v>
      </c>
      <c r="B16" s="26">
        <v>-0.69847332667928297</v>
      </c>
      <c r="C16" s="26">
        <v>0.24629270480524901</v>
      </c>
      <c r="D16" s="26">
        <v>-2.83594809367816</v>
      </c>
      <c r="E16" s="26">
        <v>4.5689871065821598E-3</v>
      </c>
      <c r="F16" s="26">
        <v>0.31060629165348702</v>
      </c>
      <c r="G16" s="26">
        <v>-2.2487417204623199</v>
      </c>
      <c r="H16" s="26">
        <v>2.4528933172422999E-2</v>
      </c>
      <c r="K16" s="26" t="s">
        <v>13</v>
      </c>
      <c r="L16" s="26">
        <v>-7.6877837520989201E-2</v>
      </c>
      <c r="M16" s="26">
        <v>2.2975000422369399E-2</v>
      </c>
      <c r="N16" s="26">
        <v>-3.3461517348281702</v>
      </c>
      <c r="O16" s="26">
        <v>8.1941542220032005E-4</v>
      </c>
      <c r="P16" s="26">
        <v>2.58464348581578E-2</v>
      </c>
      <c r="Q16" s="26">
        <v>-2.9744078029672401</v>
      </c>
      <c r="R16" s="26">
        <v>2.9355465688169998E-3</v>
      </c>
    </row>
    <row r="17" spans="1:18">
      <c r="A17" t="s">
        <v>22</v>
      </c>
      <c r="B17" s="26">
        <v>-3.4799781061724802</v>
      </c>
      <c r="C17" s="26">
        <v>0.38478498843789699</v>
      </c>
      <c r="D17" s="26">
        <v>-9.04395496378398</v>
      </c>
      <c r="E17" s="26">
        <v>0</v>
      </c>
      <c r="F17" s="26">
        <v>0.76290096107495498</v>
      </c>
      <c r="G17" s="26">
        <v>-4.5615070418433703</v>
      </c>
      <c r="H17" s="26">
        <v>5.0787772580829201E-6</v>
      </c>
      <c r="K17" s="26" t="s">
        <v>14</v>
      </c>
      <c r="L17" s="26">
        <v>-0.88919969903699203</v>
      </c>
      <c r="M17" s="26">
        <v>0.17996060732016</v>
      </c>
      <c r="N17" s="26">
        <v>-4.9410796744815002</v>
      </c>
      <c r="O17" s="26">
        <v>7.7691150401903997E-7</v>
      </c>
      <c r="P17" s="26">
        <v>0.25298045151024401</v>
      </c>
      <c r="Q17" s="26">
        <v>-3.5148949008852002</v>
      </c>
      <c r="R17" s="26">
        <v>4.3992805522008498E-4</v>
      </c>
    </row>
    <row r="18" spans="1:18">
      <c r="A18" t="s">
        <v>26</v>
      </c>
      <c r="B18" s="26">
        <v>-2.2920173245685301E-2</v>
      </c>
      <c r="C18" s="26">
        <v>3.5478720095575199E-2</v>
      </c>
      <c r="D18" s="26">
        <v>-0.64602593283921295</v>
      </c>
      <c r="E18" s="26">
        <v>0.51826256089580602</v>
      </c>
      <c r="F18" s="26">
        <v>4.8970441196355699E-2</v>
      </c>
      <c r="G18" s="26">
        <v>-0.46804097912417802</v>
      </c>
      <c r="H18" s="26">
        <v>0.63975528495068801</v>
      </c>
      <c r="K18" s="26" t="s">
        <v>15</v>
      </c>
      <c r="L18" s="26">
        <v>-0.83251186091583196</v>
      </c>
      <c r="M18" s="26">
        <v>9.4620946271508397E-2</v>
      </c>
      <c r="N18" s="26">
        <v>-8.7983886625588692</v>
      </c>
      <c r="O18" s="26">
        <v>0</v>
      </c>
      <c r="P18" s="26">
        <v>0.14963852208511</v>
      </c>
      <c r="Q18" s="26">
        <v>-5.5634862555132996</v>
      </c>
      <c r="R18" s="26">
        <v>2.6443770062556399E-8</v>
      </c>
    </row>
    <row r="19" spans="1:18">
      <c r="A19" t="s">
        <v>126</v>
      </c>
      <c r="B19" s="26">
        <v>-9.7579092994632494E-2</v>
      </c>
      <c r="C19" s="26">
        <v>0.10930810679623899</v>
      </c>
      <c r="D19" s="26">
        <v>-0.89269767682034196</v>
      </c>
      <c r="E19" s="26">
        <v>0.37201909482197398</v>
      </c>
      <c r="F19" s="26">
        <v>0.15129177115693801</v>
      </c>
      <c r="G19" s="26">
        <v>-0.64497290400157803</v>
      </c>
      <c r="H19" s="26">
        <v>0.51894474513631905</v>
      </c>
      <c r="K19" s="26" t="s">
        <v>22</v>
      </c>
      <c r="L19" s="26">
        <v>-8.2874604108630692</v>
      </c>
      <c r="M19" s="26">
        <v>0.64879664068169496</v>
      </c>
      <c r="N19" s="26">
        <v>-12.773587116843499</v>
      </c>
      <c r="O19" s="26">
        <v>0</v>
      </c>
      <c r="P19" s="26">
        <v>0.87170232248583801</v>
      </c>
      <c r="Q19" s="26">
        <v>-9.5072138700166295</v>
      </c>
      <c r="R19" s="26">
        <v>0</v>
      </c>
    </row>
    <row r="20" spans="1:18">
      <c r="A20" t="s">
        <v>127</v>
      </c>
      <c r="B20" s="26">
        <v>-0.13328415548824801</v>
      </c>
      <c r="C20" s="26">
        <v>2.58441807205315E-2</v>
      </c>
      <c r="D20" s="26">
        <v>-5.1572211527821104</v>
      </c>
      <c r="E20" s="26">
        <v>2.5064170872113302E-7</v>
      </c>
      <c r="F20" s="26">
        <v>5.6400067350974303E-2</v>
      </c>
      <c r="G20" s="26">
        <v>-2.3631914242021899</v>
      </c>
      <c r="H20" s="26">
        <v>1.81183082478245E-2</v>
      </c>
      <c r="K20" s="26" t="s">
        <v>23</v>
      </c>
      <c r="L20" s="26">
        <v>-4.0656840925978397</v>
      </c>
      <c r="M20" s="26">
        <v>0.89132055770699403</v>
      </c>
      <c r="N20" s="26">
        <v>-4.5614162687520503</v>
      </c>
      <c r="O20" s="26">
        <v>5.0809737479617897E-6</v>
      </c>
      <c r="P20" s="26">
        <v>0.98509850127394105</v>
      </c>
      <c r="Q20" s="26">
        <v>-4.1271853396792801</v>
      </c>
      <c r="R20" s="26">
        <v>3.6723041368702498E-5</v>
      </c>
    </row>
    <row r="21" spans="1:18">
      <c r="A21" t="s">
        <v>128</v>
      </c>
      <c r="B21" s="26">
        <v>-0.104944708460621</v>
      </c>
      <c r="C21" s="26">
        <v>0.11636671159911099</v>
      </c>
      <c r="D21" s="26">
        <v>-0.90184475455627999</v>
      </c>
      <c r="E21" s="26">
        <v>0.36713934181247199</v>
      </c>
      <c r="F21" s="26">
        <v>0.15558449871269001</v>
      </c>
      <c r="G21" s="26">
        <v>-0.67451905124826805</v>
      </c>
      <c r="H21" s="26">
        <v>0.499981377808141</v>
      </c>
      <c r="K21" s="26" t="s">
        <v>24</v>
      </c>
      <c r="L21" s="26">
        <v>-0.39228748668063401</v>
      </c>
      <c r="M21" s="26">
        <v>0.16924802495880001</v>
      </c>
      <c r="N21" s="26">
        <v>-2.3178260826153099</v>
      </c>
      <c r="O21" s="26">
        <v>2.0458774970106001E-2</v>
      </c>
      <c r="P21" s="26">
        <v>0.33385703110925902</v>
      </c>
      <c r="Q21" s="26">
        <v>-1.17501639961644</v>
      </c>
      <c r="R21" s="26">
        <v>0.23998815478865199</v>
      </c>
    </row>
    <row r="22" spans="1:18">
      <c r="A22" t="s">
        <v>129</v>
      </c>
      <c r="B22" s="26">
        <v>2.8162837047956499E-2</v>
      </c>
      <c r="C22" s="26">
        <v>0.11770181332176401</v>
      </c>
      <c r="D22" s="26">
        <v>0.23927275420105201</v>
      </c>
      <c r="E22" s="26">
        <v>0.810894090868715</v>
      </c>
      <c r="F22" s="26">
        <v>0.17374365588337201</v>
      </c>
      <c r="G22" s="26">
        <v>0.16209418930876701</v>
      </c>
      <c r="H22" s="26">
        <v>0.87123168194572698</v>
      </c>
      <c r="K22" s="26" t="s">
        <v>25</v>
      </c>
      <c r="L22" s="26">
        <v>0.201001638033483</v>
      </c>
      <c r="M22" s="26">
        <v>0.31012919362255298</v>
      </c>
      <c r="N22" s="26">
        <v>0.64812227344877205</v>
      </c>
      <c r="O22" s="26">
        <v>0.51690586894000601</v>
      </c>
      <c r="P22" s="26">
        <v>0.28551555171021797</v>
      </c>
      <c r="Q22" s="26">
        <v>0.70399541051090797</v>
      </c>
      <c r="R22" s="26">
        <v>0.48143563174861997</v>
      </c>
    </row>
    <row r="23" spans="1:18">
      <c r="A23" t="s">
        <v>29</v>
      </c>
      <c r="B23" s="26">
        <v>-0.43824738735464103</v>
      </c>
      <c r="C23" s="26">
        <v>8.9297884980112499E-2</v>
      </c>
      <c r="D23" s="26">
        <v>-4.9077017608227003</v>
      </c>
      <c r="E23" s="26">
        <v>9.2149838892829905E-7</v>
      </c>
      <c r="F23" s="26">
        <v>0.16794843030915099</v>
      </c>
      <c r="G23" s="26">
        <v>-2.6094163937581101</v>
      </c>
      <c r="H23" s="26">
        <v>9.0696805772123596E-3</v>
      </c>
      <c r="K23" s="26" t="s">
        <v>26</v>
      </c>
      <c r="L23" s="26">
        <v>-0.44033211932627497</v>
      </c>
      <c r="M23" s="26">
        <v>5.7883063848608397E-2</v>
      </c>
      <c r="N23" s="26">
        <v>-7.60727041813045</v>
      </c>
      <c r="O23" s="26">
        <v>2.7977620220553901E-14</v>
      </c>
      <c r="P23" s="26">
        <v>7.5244285633772001E-2</v>
      </c>
      <c r="Q23" s="26">
        <v>-5.8520340198251599</v>
      </c>
      <c r="R23" s="26">
        <v>4.8559727350294704E-9</v>
      </c>
    </row>
    <row r="24" spans="1:18">
      <c r="A24" t="s">
        <v>16</v>
      </c>
      <c r="B24" s="26">
        <v>0</v>
      </c>
      <c r="C24" s="26" t="s">
        <v>51</v>
      </c>
      <c r="D24" s="26" t="s">
        <v>51</v>
      </c>
      <c r="E24" s="26" t="s">
        <v>51</v>
      </c>
      <c r="F24" s="26" t="s">
        <v>51</v>
      </c>
      <c r="G24" s="26" t="s">
        <v>51</v>
      </c>
      <c r="H24" s="26" t="s">
        <v>51</v>
      </c>
      <c r="K24" s="26" t="s">
        <v>27</v>
      </c>
      <c r="L24" s="26">
        <v>-0.152178311929071</v>
      </c>
      <c r="M24" s="26">
        <v>3.1261689182460403E-2</v>
      </c>
      <c r="N24" s="26">
        <v>-4.8678851306106603</v>
      </c>
      <c r="O24" s="26">
        <v>1.1279885958614999E-6</v>
      </c>
      <c r="P24" s="26">
        <v>4.16594272684555E-2</v>
      </c>
      <c r="Q24" s="26">
        <v>-3.6529141639040299</v>
      </c>
      <c r="R24" s="26">
        <v>2.59280922785932E-4</v>
      </c>
    </row>
    <row r="25" spans="1:18">
      <c r="A25" t="s">
        <v>17</v>
      </c>
      <c r="B25" s="26">
        <v>0</v>
      </c>
      <c r="C25" s="26" t="s">
        <v>51</v>
      </c>
      <c r="D25" s="26" t="s">
        <v>51</v>
      </c>
      <c r="E25" s="26" t="s">
        <v>51</v>
      </c>
      <c r="F25" s="26" t="s">
        <v>51</v>
      </c>
      <c r="G25" s="26" t="s">
        <v>51</v>
      </c>
      <c r="H25" s="26" t="s">
        <v>51</v>
      </c>
      <c r="K25" s="26" t="s">
        <v>28</v>
      </c>
      <c r="L25" s="26">
        <v>-0.23648845797687701</v>
      </c>
      <c r="M25" s="26">
        <v>0.18275607232136301</v>
      </c>
      <c r="N25" s="26">
        <v>-1.29401149287685</v>
      </c>
      <c r="O25" s="26">
        <v>0.19566145102798599</v>
      </c>
      <c r="P25" s="26">
        <v>0.23874888219856399</v>
      </c>
      <c r="Q25" s="26">
        <v>-0.99053221024168903</v>
      </c>
      <c r="R25" s="26">
        <v>0.321914053457242</v>
      </c>
    </row>
    <row r="26" spans="1:18">
      <c r="A26" t="s">
        <v>18</v>
      </c>
      <c r="B26" s="26">
        <v>0</v>
      </c>
      <c r="C26" s="26" t="s">
        <v>51</v>
      </c>
      <c r="D26" s="26" t="s">
        <v>51</v>
      </c>
      <c r="E26" s="26" t="s">
        <v>51</v>
      </c>
      <c r="F26" s="26" t="s">
        <v>51</v>
      </c>
      <c r="G26" s="26" t="s">
        <v>51</v>
      </c>
      <c r="H26" s="26" t="s">
        <v>51</v>
      </c>
      <c r="K26" s="26" t="s">
        <v>29</v>
      </c>
      <c r="L26" s="26">
        <v>-1.06098146819039</v>
      </c>
      <c r="M26" s="26">
        <v>0.113599080440802</v>
      </c>
      <c r="N26" s="26">
        <v>-9.3397012024519004</v>
      </c>
      <c r="O26" s="26">
        <v>0</v>
      </c>
      <c r="P26" s="26">
        <v>0.15984908920402799</v>
      </c>
      <c r="Q26" s="26">
        <v>-6.6373945167505699</v>
      </c>
      <c r="R26" s="26">
        <v>3.1927571697565301E-11</v>
      </c>
    </row>
    <row r="27" spans="1:18">
      <c r="A27" t="s">
        <v>71</v>
      </c>
      <c r="B27" s="26">
        <v>0</v>
      </c>
      <c r="C27" s="26" t="s">
        <v>51</v>
      </c>
      <c r="D27" s="26" t="s">
        <v>51</v>
      </c>
      <c r="E27" s="26" t="s">
        <v>51</v>
      </c>
      <c r="F27" s="26" t="s">
        <v>51</v>
      </c>
      <c r="G27" s="26" t="s">
        <v>51</v>
      </c>
      <c r="H27" s="26" t="s">
        <v>51</v>
      </c>
      <c r="K27" s="26" t="s">
        <v>16</v>
      </c>
      <c r="L27" s="26">
        <v>0</v>
      </c>
      <c r="M27" s="26" t="s">
        <v>51</v>
      </c>
      <c r="N27" s="26" t="s">
        <v>51</v>
      </c>
      <c r="O27" s="26" t="s">
        <v>51</v>
      </c>
      <c r="P27" s="26" t="s">
        <v>51</v>
      </c>
      <c r="Q27" s="26" t="s">
        <v>51</v>
      </c>
      <c r="R27" s="26" t="s">
        <v>51</v>
      </c>
    </row>
    <row r="28" spans="1:18">
      <c r="A28" t="s">
        <v>90</v>
      </c>
      <c r="B28" s="26">
        <v>0</v>
      </c>
      <c r="C28" s="26" t="s">
        <v>51</v>
      </c>
      <c r="D28" s="26" t="s">
        <v>51</v>
      </c>
      <c r="E28" s="26" t="s">
        <v>51</v>
      </c>
      <c r="F28" s="26" t="s">
        <v>51</v>
      </c>
      <c r="G28" s="26" t="s">
        <v>51</v>
      </c>
      <c r="H28" s="26" t="s">
        <v>51</v>
      </c>
      <c r="K28" s="26" t="s">
        <v>17</v>
      </c>
      <c r="L28" s="26">
        <v>0</v>
      </c>
      <c r="M28" s="26" t="s">
        <v>51</v>
      </c>
      <c r="N28" s="26" t="s">
        <v>51</v>
      </c>
      <c r="O28" s="26" t="s">
        <v>51</v>
      </c>
      <c r="P28" s="26" t="s">
        <v>51</v>
      </c>
      <c r="Q28" s="26" t="s">
        <v>51</v>
      </c>
      <c r="R28" s="26" t="s">
        <v>51</v>
      </c>
    </row>
    <row r="29" spans="1:18">
      <c r="A29" t="s">
        <v>91</v>
      </c>
      <c r="B29" s="26">
        <v>0</v>
      </c>
      <c r="C29" s="26" t="s">
        <v>51</v>
      </c>
      <c r="D29" s="26" t="s">
        <v>51</v>
      </c>
      <c r="E29" s="26" t="s">
        <v>51</v>
      </c>
      <c r="F29" s="26" t="s">
        <v>51</v>
      </c>
      <c r="G29" s="26" t="s">
        <v>51</v>
      </c>
      <c r="H29" s="26" t="s">
        <v>51</v>
      </c>
      <c r="K29" s="26" t="s">
        <v>18</v>
      </c>
      <c r="L29" s="26">
        <v>0</v>
      </c>
      <c r="M29" s="26" t="s">
        <v>51</v>
      </c>
      <c r="N29" s="26" t="s">
        <v>51</v>
      </c>
      <c r="O29" s="26" t="s">
        <v>51</v>
      </c>
      <c r="P29" s="26" t="s">
        <v>51</v>
      </c>
      <c r="Q29" s="26" t="s">
        <v>51</v>
      </c>
      <c r="R29" s="26" t="s">
        <v>51</v>
      </c>
    </row>
    <row r="30" spans="1:18">
      <c r="A30" t="s">
        <v>92</v>
      </c>
      <c r="B30" s="26">
        <v>0</v>
      </c>
      <c r="C30" s="26" t="s">
        <v>51</v>
      </c>
      <c r="D30" s="26" t="s">
        <v>51</v>
      </c>
      <c r="E30" s="26" t="s">
        <v>51</v>
      </c>
      <c r="F30" s="26" t="s">
        <v>51</v>
      </c>
      <c r="G30" s="26" t="s">
        <v>51</v>
      </c>
      <c r="H30" s="26" t="s">
        <v>51</v>
      </c>
      <c r="K30" s="26" t="s">
        <v>71</v>
      </c>
      <c r="L30" s="26">
        <v>0</v>
      </c>
      <c r="M30" s="26" t="s">
        <v>51</v>
      </c>
      <c r="N30" s="26" t="s">
        <v>51</v>
      </c>
      <c r="O30" s="26" t="s">
        <v>51</v>
      </c>
      <c r="P30" s="26" t="s">
        <v>51</v>
      </c>
      <c r="Q30" s="26" t="s">
        <v>51</v>
      </c>
      <c r="R30" s="26" t="s">
        <v>51</v>
      </c>
    </row>
    <row r="31" spans="1:18">
      <c r="A31" t="s">
        <v>93</v>
      </c>
      <c r="B31" s="26">
        <v>0</v>
      </c>
      <c r="C31" s="26" t="s">
        <v>51</v>
      </c>
      <c r="D31" s="26" t="s">
        <v>51</v>
      </c>
      <c r="E31" s="26" t="s">
        <v>51</v>
      </c>
      <c r="F31" s="26" t="s">
        <v>51</v>
      </c>
      <c r="G31" s="26" t="s">
        <v>51</v>
      </c>
      <c r="H31" s="26" t="s">
        <v>51</v>
      </c>
      <c r="K31" s="26" t="s">
        <v>90</v>
      </c>
      <c r="L31" s="26">
        <v>0</v>
      </c>
      <c r="M31" s="26" t="s">
        <v>51</v>
      </c>
      <c r="N31" s="26" t="s">
        <v>51</v>
      </c>
      <c r="O31" s="26" t="s">
        <v>51</v>
      </c>
      <c r="P31" s="26" t="s">
        <v>51</v>
      </c>
      <c r="Q31" s="26" t="s">
        <v>51</v>
      </c>
      <c r="R31" s="26" t="s">
        <v>51</v>
      </c>
    </row>
    <row r="32" spans="1:18">
      <c r="A32" t="s">
        <v>19</v>
      </c>
      <c r="B32" s="26">
        <v>0.24002916916435801</v>
      </c>
      <c r="C32" s="26">
        <v>0.45021104282087299</v>
      </c>
      <c r="D32" s="26">
        <v>0.53314811573793197</v>
      </c>
      <c r="E32" s="26">
        <v>0.59393105407863001</v>
      </c>
      <c r="F32" s="26">
        <v>0.51063985780662602</v>
      </c>
      <c r="G32" s="26">
        <v>0.47005568698723599</v>
      </c>
      <c r="H32" s="26">
        <v>0.638315232481527</v>
      </c>
      <c r="K32" s="26" t="s">
        <v>91</v>
      </c>
      <c r="L32" s="26">
        <v>0</v>
      </c>
      <c r="M32" s="26" t="s">
        <v>51</v>
      </c>
      <c r="N32" s="26" t="s">
        <v>51</v>
      </c>
      <c r="O32" s="26" t="s">
        <v>51</v>
      </c>
      <c r="P32" s="26" t="s">
        <v>51</v>
      </c>
      <c r="Q32" s="26" t="s">
        <v>51</v>
      </c>
      <c r="R32" s="26" t="s">
        <v>51</v>
      </c>
    </row>
    <row r="33" spans="1:18">
      <c r="A33" t="s">
        <v>20</v>
      </c>
      <c r="B33" s="26">
        <v>-1.1361669259329099</v>
      </c>
      <c r="C33" s="26">
        <v>0.19941064095001901</v>
      </c>
      <c r="D33" s="26">
        <v>-5.6976243620704699</v>
      </c>
      <c r="E33" s="26">
        <v>1.2148835937253501E-8</v>
      </c>
      <c r="F33" s="26">
        <v>0.22222038759451099</v>
      </c>
      <c r="G33" s="26">
        <v>-5.1127933770239604</v>
      </c>
      <c r="H33" s="26">
        <v>3.17429448948303E-7</v>
      </c>
      <c r="K33" s="26" t="s">
        <v>92</v>
      </c>
      <c r="L33" s="26">
        <v>0</v>
      </c>
      <c r="M33" s="26" t="s">
        <v>51</v>
      </c>
      <c r="N33" s="26" t="s">
        <v>51</v>
      </c>
      <c r="O33" s="26" t="s">
        <v>51</v>
      </c>
      <c r="P33" s="26" t="s">
        <v>51</v>
      </c>
      <c r="Q33" s="26" t="s">
        <v>51</v>
      </c>
      <c r="R33" s="26" t="s">
        <v>51</v>
      </c>
    </row>
    <row r="34" spans="1:18">
      <c r="A34" t="s">
        <v>21</v>
      </c>
      <c r="B34" s="26">
        <v>-6.8448285682231005E-2</v>
      </c>
      <c r="C34" s="26">
        <v>0.17882836809229399</v>
      </c>
      <c r="D34" s="26">
        <v>-0.382759661749554</v>
      </c>
      <c r="E34" s="26">
        <v>0.70189797315764801</v>
      </c>
      <c r="F34" s="26">
        <v>0.24546506248827399</v>
      </c>
      <c r="G34" s="26">
        <v>-0.27885143811657898</v>
      </c>
      <c r="H34" s="26">
        <v>0.78035883753497803</v>
      </c>
      <c r="K34" s="26" t="s">
        <v>93</v>
      </c>
      <c r="L34" s="26">
        <v>0</v>
      </c>
      <c r="M34" s="26" t="s">
        <v>51</v>
      </c>
      <c r="N34" s="26" t="s">
        <v>51</v>
      </c>
      <c r="O34" s="26" t="s">
        <v>51</v>
      </c>
      <c r="P34" s="26" t="s">
        <v>51</v>
      </c>
      <c r="Q34" s="26" t="s">
        <v>51</v>
      </c>
      <c r="R34" s="26" t="s">
        <v>51</v>
      </c>
    </row>
    <row r="35" spans="1:18">
      <c r="A35" t="s">
        <v>72</v>
      </c>
      <c r="B35" s="26">
        <v>-6.0144858446648297E-2</v>
      </c>
      <c r="C35" s="26">
        <v>3.4551320074426503E-2</v>
      </c>
      <c r="D35" s="26">
        <v>-1.7407398130401699</v>
      </c>
      <c r="E35" s="26">
        <v>8.17291961896984E-2</v>
      </c>
      <c r="F35" s="26">
        <v>3.6525285157467099E-2</v>
      </c>
      <c r="G35" s="26">
        <v>-1.6466636245919199</v>
      </c>
      <c r="H35" s="26">
        <v>9.9627204886909598E-2</v>
      </c>
      <c r="K35" s="26" t="s">
        <v>19</v>
      </c>
      <c r="L35" s="26">
        <v>-0.51433663196303503</v>
      </c>
      <c r="M35" s="26">
        <v>0.461876895832177</v>
      </c>
      <c r="N35" s="26">
        <v>-1.11357947670524</v>
      </c>
      <c r="O35" s="26">
        <v>0.26545963502895198</v>
      </c>
      <c r="P35" s="26">
        <v>0.57332177848013799</v>
      </c>
      <c r="Q35" s="26">
        <v>-0.89711685700572696</v>
      </c>
      <c r="R35" s="26">
        <v>0.36965656458838297</v>
      </c>
    </row>
    <row r="36" spans="1:18">
      <c r="A36" t="s">
        <v>94</v>
      </c>
      <c r="B36" s="26">
        <v>0.195341670854628</v>
      </c>
      <c r="C36" s="26">
        <v>0.41911804828189603</v>
      </c>
      <c r="D36" s="26">
        <v>0.46607792638708501</v>
      </c>
      <c r="E36" s="26">
        <v>0.64115972268853605</v>
      </c>
      <c r="F36" s="26">
        <v>0.61243061417002498</v>
      </c>
      <c r="G36" s="26">
        <v>0.31896130979565401</v>
      </c>
      <c r="H36" s="26">
        <v>0.74975585187235005</v>
      </c>
      <c r="K36" s="26" t="s">
        <v>20</v>
      </c>
      <c r="L36" s="26">
        <v>1.3501224747427001</v>
      </c>
      <c r="M36" s="26">
        <v>0.249768622808962</v>
      </c>
      <c r="N36" s="26">
        <v>5.40549272986686</v>
      </c>
      <c r="O36" s="26">
        <v>6.46304725293589E-8</v>
      </c>
      <c r="P36" s="26">
        <v>0.29682687280937098</v>
      </c>
      <c r="Q36" s="26">
        <v>4.5485183398801698</v>
      </c>
      <c r="R36" s="26">
        <v>5.4024935891572304E-6</v>
      </c>
    </row>
    <row r="37" spans="1:18">
      <c r="A37" t="s">
        <v>95</v>
      </c>
      <c r="B37" s="26">
        <v>-0.110806835749605</v>
      </c>
      <c r="C37" s="26">
        <v>0.43069015484803103</v>
      </c>
      <c r="D37" s="26">
        <v>-0.25727738259701499</v>
      </c>
      <c r="E37" s="26">
        <v>0.79696465100480796</v>
      </c>
      <c r="F37" s="26">
        <v>0.463623130958284</v>
      </c>
      <c r="G37" s="26">
        <v>-0.239001957302202</v>
      </c>
      <c r="H37" s="26">
        <v>0.81110406501205401</v>
      </c>
      <c r="K37" s="26" t="s">
        <v>21</v>
      </c>
      <c r="L37" s="26">
        <v>-0.144085180676644</v>
      </c>
      <c r="M37" s="26">
        <v>0.17362339600044099</v>
      </c>
      <c r="N37" s="26">
        <v>-0.82987191816175498</v>
      </c>
      <c r="O37" s="26">
        <v>0.40661120356312203</v>
      </c>
      <c r="P37" s="26">
        <v>0.18799381903839499</v>
      </c>
      <c r="Q37" s="26">
        <v>-0.76643573397068598</v>
      </c>
      <c r="R37" s="26">
        <v>0.44341707738672698</v>
      </c>
    </row>
    <row r="38" spans="1:18">
      <c r="A38" t="s">
        <v>96</v>
      </c>
      <c r="B38" s="26">
        <v>-0.170438685973714</v>
      </c>
      <c r="C38" s="26">
        <v>0.45870350365153301</v>
      </c>
      <c r="D38" s="26">
        <v>-0.37156613066376798</v>
      </c>
      <c r="E38" s="26">
        <v>0.71021591021332298</v>
      </c>
      <c r="F38" s="26">
        <v>0.64131918867473203</v>
      </c>
      <c r="G38" s="26">
        <v>-0.26576264827802898</v>
      </c>
      <c r="H38" s="26">
        <v>0.79042201133448797</v>
      </c>
      <c r="K38" s="26" t="s">
        <v>72</v>
      </c>
      <c r="L38" s="26">
        <v>7.2904960369240601E-2</v>
      </c>
      <c r="M38" s="26">
        <v>3.3720684426588897E-2</v>
      </c>
      <c r="N38" s="26">
        <v>2.1620249294748799</v>
      </c>
      <c r="O38" s="26">
        <v>3.0616254683870199E-2</v>
      </c>
      <c r="P38" s="26">
        <v>3.5803869153257097E-2</v>
      </c>
      <c r="Q38" s="26">
        <v>2.0362313373779202</v>
      </c>
      <c r="R38" s="26">
        <v>4.1727130896959098E-2</v>
      </c>
    </row>
    <row r="39" spans="1:18">
      <c r="A39" t="s">
        <v>97</v>
      </c>
      <c r="B39" s="26">
        <v>-0.40579661094444103</v>
      </c>
      <c r="C39" s="26">
        <v>0.45506130262426697</v>
      </c>
      <c r="D39" s="26">
        <v>-0.89174053826215505</v>
      </c>
      <c r="E39" s="26">
        <v>0.372532019668534</v>
      </c>
      <c r="F39" s="26">
        <v>0.56130073019226401</v>
      </c>
      <c r="G39" s="26">
        <v>-0.722957568228074</v>
      </c>
      <c r="H39" s="26">
        <v>0.46970595346413802</v>
      </c>
      <c r="K39" s="26" t="s">
        <v>94</v>
      </c>
      <c r="L39" s="26">
        <v>-6.6660106278545003E-2</v>
      </c>
      <c r="M39" s="26">
        <v>0.37646598443417001</v>
      </c>
      <c r="N39" s="26">
        <v>-0.17706807264070701</v>
      </c>
      <c r="O39" s="26">
        <v>0.85945491996563905</v>
      </c>
      <c r="P39" s="26">
        <v>0.37848105797959303</v>
      </c>
      <c r="Q39" s="26">
        <v>-0.17612534332468199</v>
      </c>
      <c r="R39" s="26">
        <v>0.86019547104338201</v>
      </c>
    </row>
    <row r="40" spans="1:18">
      <c r="A40" t="s">
        <v>30</v>
      </c>
      <c r="B40" s="26">
        <v>1.3316835410321199</v>
      </c>
      <c r="C40" s="26">
        <v>0.449781930880985</v>
      </c>
      <c r="D40" s="26">
        <v>2.9607315225486301</v>
      </c>
      <c r="E40" s="26">
        <v>3.0690934903119201E-3</v>
      </c>
      <c r="F40" s="26">
        <v>0.57946354447928194</v>
      </c>
      <c r="G40" s="26">
        <v>2.2981317008109601</v>
      </c>
      <c r="H40" s="26">
        <v>2.1554294487385401E-2</v>
      </c>
      <c r="K40" s="26" t="s">
        <v>95</v>
      </c>
      <c r="L40" s="26">
        <v>0.99001305165787201</v>
      </c>
      <c r="M40" s="26">
        <v>0.42464775140908501</v>
      </c>
      <c r="N40" s="26">
        <v>2.3313747650205801</v>
      </c>
      <c r="O40" s="26">
        <v>1.97336069742611E-2</v>
      </c>
      <c r="P40" s="26">
        <v>0.43289487232892498</v>
      </c>
      <c r="Q40" s="26">
        <v>2.2869595251422501</v>
      </c>
      <c r="R40" s="26">
        <v>2.2198185667826598E-2</v>
      </c>
    </row>
    <row r="41" spans="1:18">
      <c r="A41" t="s">
        <v>31</v>
      </c>
      <c r="B41" s="26">
        <v>-0.38770658796748397</v>
      </c>
      <c r="C41" s="26">
        <v>0.20322574168381499</v>
      </c>
      <c r="D41" s="26">
        <v>-1.90776318371464</v>
      </c>
      <c r="E41" s="26">
        <v>5.6421831189916102E-2</v>
      </c>
      <c r="F41" s="26">
        <v>0.227763235986221</v>
      </c>
      <c r="G41" s="26">
        <v>-1.70223515787657</v>
      </c>
      <c r="H41" s="26">
        <v>8.8711294549795594E-2</v>
      </c>
      <c r="K41" s="26" t="s">
        <v>96</v>
      </c>
      <c r="L41" s="26">
        <v>-0.66020688770187896</v>
      </c>
      <c r="M41" s="26">
        <v>0.435812828889167</v>
      </c>
      <c r="N41" s="26">
        <v>-1.51488630884195</v>
      </c>
      <c r="O41" s="26">
        <v>0.12980119814133201</v>
      </c>
      <c r="P41" s="26">
        <v>0.48457942301879797</v>
      </c>
      <c r="Q41" s="26">
        <v>-1.3624327743612601</v>
      </c>
      <c r="R41" s="26">
        <v>0.173061346374841</v>
      </c>
    </row>
    <row r="42" spans="1:18">
      <c r="A42" t="s">
        <v>32</v>
      </c>
      <c r="B42" s="26">
        <v>-0.40669368082678697</v>
      </c>
      <c r="C42" s="26">
        <v>0.174641592987126</v>
      </c>
      <c r="D42" s="26">
        <v>-2.3287332294132699</v>
      </c>
      <c r="E42" s="26">
        <v>1.9873202594553999E-2</v>
      </c>
      <c r="F42" s="26">
        <v>0.245723081880446</v>
      </c>
      <c r="G42" s="26">
        <v>-1.6550894515667001</v>
      </c>
      <c r="H42" s="26">
        <v>9.7906354279282001E-2</v>
      </c>
      <c r="K42" s="26" t="s">
        <v>97</v>
      </c>
      <c r="L42" s="26">
        <v>0.94253698875430802</v>
      </c>
      <c r="M42" s="26">
        <v>0.488013972225462</v>
      </c>
      <c r="N42" s="26">
        <v>1.9313729573276599</v>
      </c>
      <c r="O42" s="26">
        <v>5.34369469252165E-2</v>
      </c>
      <c r="P42" s="26">
        <v>0.55989492423776099</v>
      </c>
      <c r="Q42" s="26">
        <v>1.6834176341881899</v>
      </c>
      <c r="R42" s="26">
        <v>9.2294271897064295E-2</v>
      </c>
    </row>
    <row r="43" spans="1:18">
      <c r="A43" t="s">
        <v>98</v>
      </c>
      <c r="B43" s="26">
        <v>-9.1144456073219901E-3</v>
      </c>
      <c r="C43" s="26">
        <v>0.421210217037849</v>
      </c>
      <c r="D43" s="26">
        <v>-2.16387096956458E-2</v>
      </c>
      <c r="E43" s="26">
        <v>0.98273615488117205</v>
      </c>
      <c r="F43" s="26">
        <v>0.71195568307519397</v>
      </c>
      <c r="G43" s="26">
        <v>-1.28019844830136E-2</v>
      </c>
      <c r="H43" s="26">
        <v>0.98978577323710504</v>
      </c>
      <c r="K43" s="26" t="s">
        <v>30</v>
      </c>
      <c r="L43" s="26">
        <v>0.63901684796416802</v>
      </c>
      <c r="M43" s="26">
        <v>0.378459588631468</v>
      </c>
      <c r="N43" s="26">
        <v>1.68846785009435</v>
      </c>
      <c r="O43" s="26">
        <v>9.1321455452506098E-2</v>
      </c>
      <c r="P43" s="26">
        <v>0.4345123568084</v>
      </c>
      <c r="Q43" s="26">
        <v>1.47065287776371</v>
      </c>
      <c r="R43" s="26">
        <v>0.14138501593751199</v>
      </c>
    </row>
    <row r="44" spans="1:18">
      <c r="A44" t="s">
        <v>73</v>
      </c>
      <c r="B44" s="26">
        <v>-2.9455096753330998E-2</v>
      </c>
      <c r="C44" s="26">
        <v>3.1263171698682E-2</v>
      </c>
      <c r="D44" s="26">
        <v>-0.94216597846253602</v>
      </c>
      <c r="E44" s="26">
        <v>0.34610766920944402</v>
      </c>
      <c r="F44" s="26">
        <v>3.5742533346450403E-2</v>
      </c>
      <c r="G44" s="26">
        <v>-0.82409090782190197</v>
      </c>
      <c r="H44" s="26">
        <v>0.40988790594455299</v>
      </c>
      <c r="K44" s="26" t="s">
        <v>31</v>
      </c>
      <c r="L44" s="26">
        <v>4.63830016530936E-2</v>
      </c>
      <c r="M44" s="26">
        <v>0.16513471574114499</v>
      </c>
      <c r="N44" s="26">
        <v>0.28087977409789899</v>
      </c>
      <c r="O44" s="26">
        <v>0.77880261434480103</v>
      </c>
      <c r="P44" s="26">
        <v>0.22280707922590501</v>
      </c>
      <c r="Q44" s="26">
        <v>0.208175619079256</v>
      </c>
      <c r="R44" s="26">
        <v>0.83509184471389397</v>
      </c>
    </row>
    <row r="45" spans="1:18">
      <c r="A45" t="s">
        <v>99</v>
      </c>
      <c r="B45" s="26">
        <v>0.37510619018177299</v>
      </c>
      <c r="C45" s="26">
        <v>0.39071901711199097</v>
      </c>
      <c r="D45" s="26">
        <v>0.96004078059568199</v>
      </c>
      <c r="E45" s="26">
        <v>0.33703469092317501</v>
      </c>
      <c r="F45" s="26">
        <v>0.42398556461268599</v>
      </c>
      <c r="G45" s="26">
        <v>0.88471453155353397</v>
      </c>
      <c r="H45" s="26">
        <v>0.37631061617098199</v>
      </c>
      <c r="K45" s="26" t="s">
        <v>32</v>
      </c>
      <c r="L45" s="26">
        <v>-6.5129823501594505E-2</v>
      </c>
      <c r="M45" s="26">
        <v>0.14406118448004299</v>
      </c>
      <c r="N45" s="26">
        <v>-0.45209834791145198</v>
      </c>
      <c r="O45" s="26">
        <v>0.65119813380365499</v>
      </c>
      <c r="P45" s="26">
        <v>0.18716742095796299</v>
      </c>
      <c r="Q45" s="26">
        <v>-0.34797628330959601</v>
      </c>
      <c r="R45" s="26">
        <v>0.72785799491410197</v>
      </c>
    </row>
    <row r="46" spans="1:18">
      <c r="A46" t="s">
        <v>100</v>
      </c>
      <c r="B46" s="26">
        <v>-0.87130795977813202</v>
      </c>
      <c r="C46" s="26">
        <v>0.43107507479811602</v>
      </c>
      <c r="D46" s="26">
        <v>-2.0212441189882999</v>
      </c>
      <c r="E46" s="26">
        <v>4.3254500669397601E-2</v>
      </c>
      <c r="F46" s="26">
        <v>0.57160605483737403</v>
      </c>
      <c r="G46" s="26">
        <v>-1.52431548337259</v>
      </c>
      <c r="H46" s="26">
        <v>0.127429921181061</v>
      </c>
      <c r="K46" s="26" t="s">
        <v>98</v>
      </c>
      <c r="L46" s="26">
        <v>-0.32988109233500301</v>
      </c>
      <c r="M46" s="26">
        <v>0.35785547828330599</v>
      </c>
      <c r="N46" s="26">
        <v>-0.92182769959956601</v>
      </c>
      <c r="O46" s="26">
        <v>0.35661845657093799</v>
      </c>
      <c r="P46" s="26">
        <v>0.37129244545369899</v>
      </c>
      <c r="Q46" s="26">
        <v>-0.88846701939196904</v>
      </c>
      <c r="R46" s="26">
        <v>0.37428958883591901</v>
      </c>
    </row>
    <row r="47" spans="1:18">
      <c r="A47" t="s">
        <v>101</v>
      </c>
      <c r="B47" s="26">
        <v>-0.70228238701041701</v>
      </c>
      <c r="C47" s="26">
        <v>0.47224016045540801</v>
      </c>
      <c r="D47" s="26">
        <v>-1.4871297399466501</v>
      </c>
      <c r="E47" s="26">
        <v>0.136980548163947</v>
      </c>
      <c r="F47" s="26">
        <v>0.67049371214365305</v>
      </c>
      <c r="G47" s="26">
        <v>-1.04741084709822</v>
      </c>
      <c r="H47" s="26">
        <v>0.29491013102666902</v>
      </c>
      <c r="K47" s="26" t="s">
        <v>73</v>
      </c>
      <c r="L47" s="26">
        <v>5.4496081769630902E-2</v>
      </c>
      <c r="M47" s="26">
        <v>3.1557895776658101E-2</v>
      </c>
      <c r="N47" s="26">
        <v>1.7268604394700799</v>
      </c>
      <c r="O47" s="26">
        <v>8.4192730750818304E-2</v>
      </c>
      <c r="P47" s="26">
        <v>3.2850253484078697E-2</v>
      </c>
      <c r="Q47" s="26">
        <v>1.6589242392313099</v>
      </c>
      <c r="R47" s="26">
        <v>9.7131059576570894E-2</v>
      </c>
    </row>
    <row r="48" spans="1:18">
      <c r="A48" s="26"/>
      <c r="K48" s="26" t="s">
        <v>99</v>
      </c>
      <c r="L48" s="26">
        <v>0.80098998200424298</v>
      </c>
      <c r="M48" s="26">
        <v>0.40910984401775502</v>
      </c>
      <c r="N48" s="26">
        <v>1.95788489012619</v>
      </c>
      <c r="O48" s="26">
        <v>5.0243521292625798E-2</v>
      </c>
      <c r="P48" s="26">
        <v>0.42339766308202598</v>
      </c>
      <c r="Q48" s="26">
        <v>1.89181483944342</v>
      </c>
      <c r="R48" s="26">
        <v>5.8515655423800203E-2</v>
      </c>
    </row>
    <row r="49" spans="1:18">
      <c r="A49" s="26"/>
      <c r="K49" s="26" t="s">
        <v>100</v>
      </c>
      <c r="L49" s="26">
        <v>-1.0596413497649899</v>
      </c>
      <c r="M49" s="26">
        <v>0.373255906787192</v>
      </c>
      <c r="N49" s="26">
        <v>-2.8389138135438299</v>
      </c>
      <c r="O49" s="26">
        <v>4.5267381738436398E-3</v>
      </c>
      <c r="P49" s="26">
        <v>0.419453714082208</v>
      </c>
      <c r="Q49" s="26">
        <v>-2.5262414282909602</v>
      </c>
      <c r="R49" s="26">
        <v>1.1529022206937699E-2</v>
      </c>
    </row>
    <row r="50" spans="1:18">
      <c r="A50" s="26"/>
      <c r="K50" s="26" t="s">
        <v>101</v>
      </c>
      <c r="L50" s="26">
        <v>0.328629736312822</v>
      </c>
      <c r="M50" s="26">
        <v>0.52301248784833998</v>
      </c>
      <c r="N50" s="26">
        <v>0.628340133262967</v>
      </c>
      <c r="O50" s="26">
        <v>0.52978114604536297</v>
      </c>
      <c r="P50" s="26">
        <v>0.63512686826889497</v>
      </c>
      <c r="Q50" s="26">
        <v>0.51742376638629195</v>
      </c>
      <c r="R50" s="26">
        <v>0.604860372621569</v>
      </c>
    </row>
  </sheetData>
  <conditionalFormatting sqref="H2:H50">
    <cfRule type="cellIs" dxfId="5" priority="4" operator="lessThan">
      <formula>0.01</formula>
    </cfRule>
    <cfRule type="cellIs" dxfId="4" priority="5" operator="lessThan">
      <formula>0.05</formula>
    </cfRule>
    <cfRule type="cellIs" dxfId="3" priority="6" operator="lessThan">
      <formula>0.1</formula>
    </cfRule>
  </conditionalFormatting>
  <conditionalFormatting sqref="R1:R1048576">
    <cfRule type="cellIs" dxfId="2" priority="1" operator="lessThan">
      <formula>0.01</formula>
    </cfRule>
    <cfRule type="cellIs" dxfId="1" priority="2" operator="lessThan">
      <formula>0.05</formula>
    </cfRule>
    <cfRule type="cellIs" dxfId="0" priority="3" operator="lessThan"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655B2-6FB3-1B45-B9BF-28A8708E70F6}">
  <sheetPr>
    <tabColor rgb="FFC00000"/>
  </sheetPr>
  <dimension ref="A1:Z25"/>
  <sheetViews>
    <sheetView tabSelected="1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N1" sqref="N1:R1048576"/>
    </sheetView>
  </sheetViews>
  <sheetFormatPr baseColWidth="10" defaultRowHeight="15"/>
  <cols>
    <col min="1" max="1" width="14.1640625" style="17" customWidth="1"/>
    <col min="2" max="2" width="10.83203125" style="17"/>
    <col min="3" max="3" width="10.83203125" style="18"/>
    <col min="4" max="4" width="10.83203125" style="20"/>
    <col min="5" max="5" width="27.83203125" style="24" customWidth="1"/>
    <col min="6" max="16" width="10.83203125" style="17"/>
    <col min="17" max="20" width="16.1640625" style="24" customWidth="1"/>
    <col min="21" max="22" width="10.83203125" style="24"/>
    <col min="23" max="23" width="10.83203125" style="45"/>
    <col min="24" max="24" width="10.83203125" style="16"/>
    <col min="25" max="25" width="18.1640625" style="51" customWidth="1"/>
    <col min="26" max="16384" width="10.83203125" style="17"/>
  </cols>
  <sheetData>
    <row r="1" spans="1:26" s="7" customFormat="1" ht="41" customHeight="1">
      <c r="A1" s="1" t="s">
        <v>33</v>
      </c>
      <c r="B1" s="2"/>
      <c r="C1" s="3"/>
      <c r="D1" s="4"/>
      <c r="E1" s="7" t="s">
        <v>36</v>
      </c>
      <c r="F1" s="68" t="s">
        <v>34</v>
      </c>
      <c r="G1" s="68"/>
      <c r="H1" s="68"/>
      <c r="I1" s="68"/>
      <c r="J1" s="68"/>
      <c r="K1" s="68"/>
      <c r="L1" s="68"/>
      <c r="M1" s="44"/>
      <c r="N1" s="68" t="s">
        <v>35</v>
      </c>
      <c r="O1" s="68"/>
      <c r="P1" s="5"/>
      <c r="W1" s="55"/>
      <c r="X1" s="52"/>
      <c r="Y1" s="47" t="s">
        <v>37</v>
      </c>
    </row>
    <row r="2" spans="1:26" s="7" customFormat="1" ht="68" customHeight="1">
      <c r="A2" s="7" t="s">
        <v>38</v>
      </c>
      <c r="B2" s="6" t="s">
        <v>39</v>
      </c>
      <c r="C2" s="3" t="s">
        <v>40</v>
      </c>
      <c r="D2" s="4" t="s">
        <v>41</v>
      </c>
      <c r="E2" s="4"/>
      <c r="F2" s="6" t="s">
        <v>42</v>
      </c>
      <c r="G2" s="22" t="s">
        <v>52</v>
      </c>
      <c r="H2" s="22" t="s">
        <v>53</v>
      </c>
      <c r="I2" s="22" t="s">
        <v>54</v>
      </c>
      <c r="J2" s="23" t="s">
        <v>43</v>
      </c>
      <c r="K2" s="22" t="s">
        <v>55</v>
      </c>
      <c r="L2" s="22" t="s">
        <v>56</v>
      </c>
      <c r="M2" s="22"/>
      <c r="N2" s="7" t="s">
        <v>74</v>
      </c>
      <c r="O2" s="6" t="s">
        <v>44</v>
      </c>
      <c r="P2" s="6" t="s">
        <v>45</v>
      </c>
      <c r="Q2" s="39" t="s">
        <v>78</v>
      </c>
      <c r="R2" s="39" t="s">
        <v>79</v>
      </c>
      <c r="S2" s="39" t="s">
        <v>80</v>
      </c>
      <c r="T2" s="39" t="s">
        <v>81</v>
      </c>
      <c r="U2" s="36" t="s">
        <v>75</v>
      </c>
      <c r="V2" s="36" t="s">
        <v>76</v>
      </c>
      <c r="W2" s="56" t="s">
        <v>77</v>
      </c>
      <c r="X2" s="36" t="s">
        <v>46</v>
      </c>
      <c r="Y2" s="48"/>
    </row>
    <row r="3" spans="1:26" s="8" customFormat="1" ht="40" customHeight="1">
      <c r="B3" s="9"/>
      <c r="C3" s="10"/>
      <c r="D3" s="11"/>
      <c r="E3" s="11"/>
      <c r="F3" s="9"/>
      <c r="H3" s="9"/>
      <c r="I3" s="9" t="s">
        <v>48</v>
      </c>
      <c r="J3" s="9" t="s">
        <v>47</v>
      </c>
      <c r="K3" s="9" t="s">
        <v>58</v>
      </c>
      <c r="L3" s="9" t="s">
        <v>57</v>
      </c>
      <c r="M3" s="9"/>
      <c r="N3" s="38">
        <v>10000</v>
      </c>
      <c r="O3" s="9" t="s">
        <v>49</v>
      </c>
      <c r="P3" s="9" t="s">
        <v>49</v>
      </c>
      <c r="W3" s="11"/>
      <c r="X3" s="9"/>
      <c r="Y3" s="49"/>
    </row>
    <row r="4" spans="1:26" s="8" customFormat="1" ht="40" hidden="1" customHeight="1">
      <c r="B4" s="9"/>
      <c r="C4" s="10"/>
      <c r="D4" s="11"/>
      <c r="E4" s="11"/>
      <c r="F4" s="9"/>
      <c r="H4" s="9"/>
      <c r="I4" s="9"/>
      <c r="J4" s="9"/>
      <c r="K4" s="9"/>
      <c r="L4" s="9"/>
      <c r="M4" s="9"/>
      <c r="O4" s="9"/>
      <c r="P4" s="9"/>
      <c r="W4" s="11"/>
      <c r="X4" s="9"/>
      <c r="Y4" s="49"/>
    </row>
    <row r="5" spans="1:26" s="13" customFormat="1" ht="34" hidden="1">
      <c r="A5" s="12" t="s">
        <v>50</v>
      </c>
      <c r="B5" s="13" t="s">
        <v>51</v>
      </c>
      <c r="C5" s="14">
        <v>1</v>
      </c>
      <c r="D5" s="15">
        <v>334</v>
      </c>
      <c r="E5" s="15"/>
      <c r="F5" s="19">
        <v>-12.69065975</v>
      </c>
      <c r="G5" s="19">
        <v>-5.4230934299999998</v>
      </c>
      <c r="H5" s="19">
        <v>-0.70495701</v>
      </c>
      <c r="I5" s="19">
        <v>0.60290829999999995</v>
      </c>
      <c r="J5" s="21">
        <v>-0.63559155000000001</v>
      </c>
      <c r="K5" s="19">
        <v>-0.39466126000000001</v>
      </c>
      <c r="L5" s="19">
        <v>-1.44312258</v>
      </c>
      <c r="M5" s="19"/>
      <c r="O5" s="12">
        <v>-6.8361689999999996E-3</v>
      </c>
      <c r="P5" s="12">
        <v>7.4320150000000001E-2</v>
      </c>
      <c r="Q5" s="16"/>
      <c r="R5" s="16"/>
      <c r="S5" s="16"/>
      <c r="T5" s="16"/>
      <c r="W5" s="57"/>
      <c r="X5" s="16"/>
      <c r="Y5" s="50"/>
    </row>
    <row r="6" spans="1:26">
      <c r="A6" s="30" t="s">
        <v>102</v>
      </c>
      <c r="D6" s="20">
        <v>385</v>
      </c>
      <c r="F6" s="19"/>
      <c r="G6" s="19"/>
      <c r="H6" s="19"/>
      <c r="I6" s="19"/>
      <c r="J6" s="19"/>
      <c r="K6" s="19"/>
      <c r="L6" s="19"/>
      <c r="M6" s="19"/>
      <c r="O6" s="19"/>
      <c r="P6" s="19"/>
      <c r="Q6" s="40"/>
      <c r="R6" s="40"/>
      <c r="S6" s="40"/>
      <c r="T6" s="40"/>
    </row>
    <row r="7" spans="1:26" ht="70" customHeight="1">
      <c r="A7" s="66" t="s">
        <v>104</v>
      </c>
      <c r="B7" s="12" t="s">
        <v>59</v>
      </c>
      <c r="C7" s="18">
        <v>0.29559999999999997</v>
      </c>
      <c r="D7" s="20">
        <f>C7*$D$6</f>
        <v>113.80599999999998</v>
      </c>
      <c r="E7" s="16" t="s">
        <v>107</v>
      </c>
      <c r="F7" s="17">
        <v>-2.1306720000000001</v>
      </c>
      <c r="G7" s="17">
        <v>-0.15268522000000001</v>
      </c>
      <c r="H7" s="34">
        <v>1.8632242999999999</v>
      </c>
      <c r="I7" s="34">
        <v>-0.32716109999999998</v>
      </c>
      <c r="J7" s="17">
        <v>-0.48290870000000002</v>
      </c>
      <c r="K7" s="17">
        <v>-0.49344599</v>
      </c>
      <c r="L7" s="19">
        <v>-0.36013289999999998</v>
      </c>
      <c r="M7" s="19"/>
      <c r="N7" s="37">
        <v>5.2205880000000002</v>
      </c>
      <c r="O7" s="37">
        <v>-0.61889680000000002</v>
      </c>
      <c r="P7" s="37">
        <v>0.34316560000000002</v>
      </c>
      <c r="Q7" s="43">
        <v>0.6323529</v>
      </c>
      <c r="R7" s="43">
        <v>7.3529410000000003E-2</v>
      </c>
      <c r="S7" s="43">
        <v>0.1911765</v>
      </c>
      <c r="T7" s="43">
        <v>8.8235289999999994E-2</v>
      </c>
      <c r="U7" s="37">
        <v>3.1617649999999999</v>
      </c>
      <c r="V7" s="37">
        <v>3.2352940000000001</v>
      </c>
      <c r="W7" s="58">
        <v>17279.41</v>
      </c>
      <c r="X7" s="37">
        <v>1.6</v>
      </c>
      <c r="Y7" s="50" t="s">
        <v>62</v>
      </c>
    </row>
    <row r="8" spans="1:26" ht="65" customHeight="1">
      <c r="A8" s="66"/>
      <c r="B8" s="12" t="s">
        <v>60</v>
      </c>
      <c r="C8" s="18">
        <v>0.2422</v>
      </c>
      <c r="D8" s="20">
        <f t="shared" ref="D8:D9" si="0">C8*$D$6</f>
        <v>93.247</v>
      </c>
      <c r="E8" s="16" t="s">
        <v>105</v>
      </c>
      <c r="F8" s="17">
        <v>1.4358040000000001</v>
      </c>
      <c r="G8" s="17">
        <v>-0.31479732999999999</v>
      </c>
      <c r="H8" s="34">
        <v>1.5521449</v>
      </c>
      <c r="I8" s="34">
        <v>-0.43615769999999998</v>
      </c>
      <c r="J8" s="17">
        <v>-0.59155340000000001</v>
      </c>
      <c r="K8" s="17">
        <v>-1.37762239</v>
      </c>
      <c r="L8" s="19">
        <v>-0.74670210000000004</v>
      </c>
      <c r="M8" s="19"/>
      <c r="N8" s="37">
        <v>6.8511449999999998</v>
      </c>
      <c r="O8" s="37">
        <v>0.59802940000000004</v>
      </c>
      <c r="P8" s="37">
        <v>-0.42628969999999999</v>
      </c>
      <c r="Q8" s="43">
        <v>0.73282440000000004</v>
      </c>
      <c r="R8" s="43">
        <v>0.22900762999999999</v>
      </c>
      <c r="S8" s="43">
        <v>0.41984729999999998</v>
      </c>
      <c r="T8" s="43">
        <v>0.41984733000000002</v>
      </c>
      <c r="U8" s="37">
        <v>3.534351</v>
      </c>
      <c r="V8" s="37">
        <v>3.0152670000000001</v>
      </c>
      <c r="W8" s="58">
        <v>22442.75</v>
      </c>
      <c r="X8" s="37">
        <v>2.69</v>
      </c>
      <c r="Y8" s="50" t="s">
        <v>70</v>
      </c>
      <c r="Z8" s="67"/>
    </row>
    <row r="9" spans="1:26" ht="78" customHeight="1">
      <c r="A9" s="66"/>
      <c r="B9" s="12" t="s">
        <v>61</v>
      </c>
      <c r="C9" s="18">
        <v>0.4622</v>
      </c>
      <c r="D9" s="20">
        <f t="shared" si="0"/>
        <v>177.947</v>
      </c>
      <c r="E9" s="16" t="s">
        <v>106</v>
      </c>
      <c r="F9" s="17">
        <v>-7.940671</v>
      </c>
      <c r="G9" s="17">
        <v>-5.2299619999999998E-2</v>
      </c>
      <c r="H9" s="34">
        <v>-0.22265760000000001</v>
      </c>
      <c r="I9" s="32">
        <v>-0.30412990000000001</v>
      </c>
      <c r="J9" s="32">
        <v>-0.2394645</v>
      </c>
      <c r="K9" s="32">
        <v>6.4262420000000001E-2</v>
      </c>
      <c r="L9" s="19">
        <v>-1.1026009000000001</v>
      </c>
      <c r="M9" s="19"/>
      <c r="N9" s="37">
        <v>7.8168319999999998</v>
      </c>
      <c r="O9" s="37">
        <v>-0.21350160000000001</v>
      </c>
      <c r="P9" s="37">
        <v>0.43090149999999999</v>
      </c>
      <c r="Q9" s="43">
        <v>0.62376240000000005</v>
      </c>
      <c r="R9" s="43">
        <v>0.23762375999999999</v>
      </c>
      <c r="S9" s="43">
        <v>0.41584159999999998</v>
      </c>
      <c r="T9" s="43">
        <v>0.25742574000000001</v>
      </c>
      <c r="U9" s="37">
        <v>3.4356439999999999</v>
      </c>
      <c r="V9" s="37">
        <v>3.247525</v>
      </c>
      <c r="W9" s="58">
        <v>21089.11</v>
      </c>
      <c r="X9" s="37">
        <v>1.76</v>
      </c>
      <c r="Y9" s="50" t="s">
        <v>69</v>
      </c>
      <c r="Z9" s="67"/>
    </row>
    <row r="11" spans="1:26">
      <c r="A11" s="30" t="s">
        <v>103</v>
      </c>
      <c r="D11" s="20">
        <v>366</v>
      </c>
      <c r="O11" s="27"/>
      <c r="P11" s="27"/>
      <c r="Q11" s="41"/>
      <c r="R11" s="41"/>
      <c r="S11" s="41"/>
      <c r="T11" s="41"/>
      <c r="U11" s="41"/>
      <c r="V11" s="41"/>
      <c r="W11" s="59"/>
      <c r="X11" s="39"/>
    </row>
    <row r="12" spans="1:26" ht="32">
      <c r="A12" s="66" t="s">
        <v>104</v>
      </c>
      <c r="B12" s="12" t="s">
        <v>59</v>
      </c>
      <c r="C12" s="63">
        <v>0.25390000000000001</v>
      </c>
      <c r="D12" s="20">
        <f>$D$11*C12</f>
        <v>92.927400000000006</v>
      </c>
      <c r="E12" s="16" t="s">
        <v>106</v>
      </c>
      <c r="F12" s="34">
        <v>-5.6891949999999998</v>
      </c>
      <c r="G12" s="37">
        <v>-5.1104609999999999</v>
      </c>
      <c r="H12" s="37">
        <v>-1.8663228000000001</v>
      </c>
      <c r="I12" s="64">
        <v>0.98354249999999999</v>
      </c>
      <c r="J12" s="37">
        <v>-0.29241149999999999</v>
      </c>
      <c r="K12" s="37">
        <v>-0.15133083</v>
      </c>
      <c r="L12" s="37">
        <v>-0.99440300000000004</v>
      </c>
      <c r="M12" s="27"/>
      <c r="N12" s="37">
        <v>6.9333330000000002</v>
      </c>
      <c r="O12" s="37">
        <v>-0.28374310000000003</v>
      </c>
      <c r="P12" s="37">
        <v>0.31808720000000001</v>
      </c>
      <c r="Q12" s="35">
        <v>0.77777779999999996</v>
      </c>
      <c r="R12" s="35">
        <v>0.13333329999999999</v>
      </c>
      <c r="S12" s="35">
        <v>0.38888889999999998</v>
      </c>
      <c r="T12" s="35">
        <v>0.15555559999999999</v>
      </c>
      <c r="U12" s="37">
        <v>3.1222219999999998</v>
      </c>
      <c r="V12" s="37">
        <v>3.4666670000000002</v>
      </c>
      <c r="W12" s="58">
        <v>24055.56</v>
      </c>
      <c r="X12" s="39">
        <v>1.8</v>
      </c>
    </row>
    <row r="13" spans="1:26" ht="48">
      <c r="A13" s="66"/>
      <c r="B13" s="12" t="s">
        <v>60</v>
      </c>
      <c r="C13" s="63">
        <v>0.36349999999999999</v>
      </c>
      <c r="D13" s="20">
        <f t="shared" ref="D13:D14" si="1">$D$11*C13</f>
        <v>133.041</v>
      </c>
      <c r="E13" s="16" t="s">
        <v>82</v>
      </c>
      <c r="F13" s="34">
        <v>-6.8943029999999998</v>
      </c>
      <c r="G13" s="37">
        <v>0.30677260000000001</v>
      </c>
      <c r="H13" s="37">
        <v>1.1824391999999999</v>
      </c>
      <c r="I13" s="37">
        <v>0.2174354</v>
      </c>
      <c r="J13" s="37">
        <v>-0.24622179999999999</v>
      </c>
      <c r="K13" s="37">
        <v>-9.234444E-2</v>
      </c>
      <c r="L13" s="37">
        <v>-1.0680924999999999</v>
      </c>
      <c r="M13" s="27"/>
      <c r="N13" s="37">
        <v>8.9765619999999995</v>
      </c>
      <c r="O13" s="37">
        <v>0.74222440000000001</v>
      </c>
      <c r="P13" s="37">
        <v>-0.17751700000000001</v>
      </c>
      <c r="Q13" s="35">
        <v>0.7734375</v>
      </c>
      <c r="R13" s="35">
        <v>0.328125</v>
      </c>
      <c r="S13" s="35">
        <v>0.4921875</v>
      </c>
      <c r="T13" s="35">
        <v>0.390625</v>
      </c>
      <c r="U13" s="37">
        <v>3.8188979999999999</v>
      </c>
      <c r="V13" s="37">
        <v>3.1259839999999999</v>
      </c>
      <c r="W13" s="58">
        <v>28671.88</v>
      </c>
      <c r="X13" s="16">
        <v>3</v>
      </c>
      <c r="Y13" s="2"/>
    </row>
    <row r="14" spans="1:26" ht="17">
      <c r="A14" s="66"/>
      <c r="B14" s="12" t="s">
        <v>61</v>
      </c>
      <c r="C14" s="63">
        <v>0.3826</v>
      </c>
      <c r="D14" s="20">
        <f t="shared" si="1"/>
        <v>140.0316</v>
      </c>
      <c r="E14" s="62" t="s">
        <v>108</v>
      </c>
      <c r="F14" s="34">
        <v>-7.8111259999999998</v>
      </c>
      <c r="G14" s="37">
        <v>-3.8320029</v>
      </c>
      <c r="H14" s="37">
        <v>-0.36974020000000002</v>
      </c>
      <c r="I14" s="37">
        <v>0.1894488</v>
      </c>
      <c r="J14" s="37">
        <v>-0.41502339999999999</v>
      </c>
      <c r="K14" s="37">
        <v>-0.14343164</v>
      </c>
      <c r="L14" s="37">
        <v>-0.22289590000000001</v>
      </c>
      <c r="N14" s="37">
        <v>7.8716220000000003</v>
      </c>
      <c r="O14" s="37">
        <v>-0.27642739999999999</v>
      </c>
      <c r="P14" s="37">
        <v>0.1773293</v>
      </c>
      <c r="Q14" s="35">
        <v>0.55405409999999999</v>
      </c>
      <c r="R14" s="35">
        <v>0.14189189999999999</v>
      </c>
      <c r="S14" s="35">
        <v>0.32432430000000001</v>
      </c>
      <c r="T14" s="35">
        <v>0.26351350000000001</v>
      </c>
      <c r="U14" s="37">
        <v>3.2432430000000001</v>
      </c>
      <c r="V14" s="37">
        <v>3.1418919999999999</v>
      </c>
      <c r="W14" s="58">
        <v>27432.43</v>
      </c>
      <c r="X14" s="16">
        <v>1.97</v>
      </c>
      <c r="Y14" s="2"/>
    </row>
    <row r="15" spans="1:26">
      <c r="H15" s="28"/>
      <c r="I15" s="29"/>
      <c r="N15" s="2"/>
      <c r="O15" s="34"/>
      <c r="P15" s="34"/>
      <c r="Q15" s="13"/>
      <c r="R15" s="13"/>
      <c r="S15" s="13"/>
      <c r="T15" s="13"/>
      <c r="U15" s="16"/>
      <c r="V15" s="16"/>
      <c r="W15" s="57"/>
      <c r="Y15" s="2"/>
      <c r="Z15" s="2"/>
    </row>
    <row r="16" spans="1:26">
      <c r="H16" s="28"/>
      <c r="I16" s="29"/>
      <c r="N16" s="2"/>
      <c r="O16" s="34"/>
      <c r="P16" s="32"/>
      <c r="Q16" s="42"/>
      <c r="R16" s="42"/>
      <c r="S16" s="42"/>
      <c r="T16" s="42"/>
      <c r="U16" s="42"/>
      <c r="V16" s="42"/>
      <c r="W16" s="60"/>
      <c r="X16" s="53"/>
      <c r="Y16" s="2"/>
      <c r="Z16" s="2"/>
    </row>
    <row r="17" spans="2:26">
      <c r="H17" s="28"/>
      <c r="I17" s="33"/>
      <c r="J17" s="33"/>
      <c r="K17" s="36"/>
      <c r="L17" s="36"/>
      <c r="M17" s="36"/>
      <c r="N17" s="33"/>
      <c r="O17" s="33"/>
      <c r="P17" s="33"/>
      <c r="Q17" s="33"/>
      <c r="R17" s="33"/>
      <c r="S17" s="33"/>
      <c r="T17" s="33"/>
      <c r="U17" s="33"/>
      <c r="V17" s="33"/>
      <c r="W17" s="56"/>
      <c r="X17" s="36"/>
      <c r="Y17" s="33"/>
      <c r="Z17" s="2"/>
    </row>
    <row r="18" spans="2:26">
      <c r="I18" s="33"/>
      <c r="J18" s="33"/>
      <c r="K18" s="36"/>
      <c r="L18" s="36"/>
      <c r="M18" s="36"/>
      <c r="N18" s="33"/>
      <c r="O18" s="33"/>
      <c r="P18" s="33"/>
      <c r="Q18" s="33"/>
      <c r="R18" s="33"/>
      <c r="S18" s="33"/>
      <c r="T18" s="33"/>
      <c r="U18" s="33"/>
      <c r="V18" s="33"/>
      <c r="W18" s="56"/>
      <c r="X18" s="36"/>
      <c r="Y18" s="33"/>
      <c r="Z18" s="2"/>
    </row>
    <row r="19" spans="2:26">
      <c r="C19" s="18" t="s">
        <v>130</v>
      </c>
      <c r="D19" s="20" t="s">
        <v>131</v>
      </c>
      <c r="G19" s="17" t="s">
        <v>132</v>
      </c>
      <c r="H19" s="17" t="s">
        <v>43</v>
      </c>
      <c r="I19" s="34" t="s">
        <v>133</v>
      </c>
      <c r="J19" s="34" t="s">
        <v>134</v>
      </c>
      <c r="K19" s="17" t="s">
        <v>135</v>
      </c>
      <c r="L19" s="17" t="s">
        <v>136</v>
      </c>
      <c r="N19" s="34"/>
      <c r="O19" s="34"/>
      <c r="S19" s="34"/>
      <c r="T19" s="34"/>
      <c r="U19" s="34"/>
      <c r="Z19" s="2"/>
    </row>
    <row r="20" spans="2:26">
      <c r="B20" s="17" t="s">
        <v>59</v>
      </c>
      <c r="F20" s="17" t="s">
        <v>137</v>
      </c>
      <c r="N20" s="34"/>
      <c r="O20" s="34"/>
      <c r="S20" s="34"/>
      <c r="T20" s="34"/>
      <c r="U20" s="34"/>
      <c r="Z20" s="2"/>
    </row>
    <row r="21" spans="2:26">
      <c r="B21" s="17" t="s">
        <v>60</v>
      </c>
      <c r="F21" s="17" t="s">
        <v>138</v>
      </c>
      <c r="N21" s="34"/>
      <c r="O21" s="34"/>
      <c r="S21" s="34"/>
      <c r="T21" s="34"/>
      <c r="U21" s="34"/>
      <c r="Z21" s="2"/>
    </row>
    <row r="22" spans="2:26">
      <c r="B22" s="17" t="s">
        <v>61</v>
      </c>
      <c r="F22" s="17" t="s">
        <v>139</v>
      </c>
      <c r="M22" s="32"/>
      <c r="N22" s="34"/>
      <c r="O22" s="32"/>
      <c r="P22" s="32"/>
      <c r="Q22" s="32"/>
      <c r="R22" s="32"/>
      <c r="S22" s="32"/>
      <c r="T22" s="32"/>
      <c r="U22" s="32"/>
      <c r="V22" s="32"/>
      <c r="W22" s="61"/>
      <c r="X22" s="54"/>
      <c r="Y22" s="32"/>
      <c r="Z22" s="2"/>
    </row>
    <row r="23" spans="2:26">
      <c r="N23" s="2"/>
      <c r="O23" s="34"/>
      <c r="P23" s="34"/>
      <c r="Q23" s="34"/>
      <c r="R23" s="34"/>
      <c r="S23" s="34"/>
      <c r="T23" s="34"/>
      <c r="U23" s="34"/>
      <c r="V23" s="34"/>
      <c r="W23" s="57"/>
      <c r="Y23" s="2"/>
      <c r="Z23" s="2"/>
    </row>
    <row r="24" spans="2:26">
      <c r="N24" s="2"/>
      <c r="O24" s="34"/>
      <c r="P24" s="32"/>
      <c r="Q24" s="32"/>
      <c r="R24" s="32"/>
      <c r="S24" s="32"/>
      <c r="T24" s="32"/>
      <c r="U24" s="32"/>
      <c r="V24" s="32"/>
      <c r="W24" s="57"/>
      <c r="Y24" s="2"/>
      <c r="Z24" s="2"/>
    </row>
    <row r="25" spans="2:26">
      <c r="N25" s="2"/>
      <c r="O25" s="2"/>
      <c r="P25" s="2"/>
      <c r="Q25" s="13"/>
      <c r="R25" s="13"/>
      <c r="S25" s="13"/>
      <c r="T25" s="13"/>
      <c r="U25" s="13"/>
      <c r="V25" s="13"/>
      <c r="W25" s="57"/>
      <c r="Y25" s="2"/>
      <c r="Z25" s="2"/>
    </row>
  </sheetData>
  <mergeCells count="5">
    <mergeCell ref="A12:A14"/>
    <mergeCell ref="Z8:Z9"/>
    <mergeCell ref="F1:L1"/>
    <mergeCell ref="N1:O1"/>
    <mergeCell ref="A7:A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41B1-EEA4-9644-98C8-8514E386A931}">
  <dimension ref="A1:C7"/>
  <sheetViews>
    <sheetView zoomScale="162" workbookViewId="0">
      <selection sqref="A1:XFD1048576"/>
    </sheetView>
  </sheetViews>
  <sheetFormatPr baseColWidth="10" defaultRowHeight="15"/>
  <cols>
    <col min="1" max="1" width="87.33203125" customWidth="1"/>
  </cols>
  <sheetData>
    <row r="1" spans="1:3" ht="34">
      <c r="B1" s="12" t="s">
        <v>44</v>
      </c>
      <c r="C1" s="12" t="s">
        <v>45</v>
      </c>
    </row>
    <row r="2" spans="1:3" ht="16">
      <c r="A2" s="25" t="s">
        <v>63</v>
      </c>
      <c r="B2">
        <v>0.61</v>
      </c>
    </row>
    <row r="3" spans="1:3" ht="16">
      <c r="A3" s="25" t="s">
        <v>64</v>
      </c>
      <c r="B3">
        <v>0.93</v>
      </c>
    </row>
    <row r="4" spans="1:3" ht="16">
      <c r="A4" s="25" t="s">
        <v>65</v>
      </c>
      <c r="B4">
        <v>0.77</v>
      </c>
    </row>
    <row r="5" spans="1:3" ht="16">
      <c r="A5" s="25" t="s">
        <v>66</v>
      </c>
      <c r="C5">
        <v>0.68</v>
      </c>
    </row>
    <row r="6" spans="1:3" ht="16">
      <c r="A6" s="25" t="s">
        <v>67</v>
      </c>
      <c r="C6">
        <v>0.55000000000000004</v>
      </c>
    </row>
    <row r="7" spans="1:3" ht="16">
      <c r="A7" s="25" t="s">
        <v>68</v>
      </c>
      <c r="C7">
        <v>0.66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pref_1class</vt:lpstr>
      <vt:lpstr>wtp_1class</vt:lpstr>
      <vt:lpstr>coef_fit</vt:lpstr>
      <vt:lpstr>WTP</vt:lpstr>
      <vt:lpstr>Factor_analysis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2025-11-13T21:25:14Z</dcterms:created>
  <dcterms:modified xsi:type="dcterms:W3CDTF">2026-01-27T17:31:53Z</dcterms:modified>
</cp:coreProperties>
</file>