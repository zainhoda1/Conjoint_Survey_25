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nw17/Documents/GitHub/Conjoint_Survey_25/code/output/"/>
    </mc:Choice>
  </mc:AlternateContent>
  <xr:revisionPtr revIDLastSave="0" documentId="13_ncr:1_{AB0A8AC3-1A84-3140-89FF-7DDCFD250B51}" xr6:coauthVersionLast="47" xr6:coauthVersionMax="47" xr10:uidLastSave="{00000000-0000-0000-0000-000000000000}"/>
  <bookViews>
    <workbookView xWindow="1880" yWindow="2440" windowWidth="25880" windowHeight="15400" activeTab="6" xr2:uid="{A9909137-D575-224B-A76F-FCE69DCC6739}"/>
  </bookViews>
  <sheets>
    <sheet name="logitr_MNL (Preference)" sheetId="4" r:id="rId1"/>
    <sheet name="Apollo_MNL (Preference)" sheetId="9" r:id="rId2"/>
    <sheet name="MNL (WTP space)" sheetId="1" r:id="rId3"/>
    <sheet name="MNL WTP compare" sheetId="5" r:id="rId4"/>
    <sheet name="MXL (WTP space)_lessSD" sheetId="2" r:id="rId5"/>
    <sheet name="MXL (WTP space)" sheetId="6" r:id="rId6"/>
    <sheet name="Sheet1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0" l="1"/>
  <c r="C5" i="10"/>
  <c r="C6" i="10"/>
  <c r="C3" i="10"/>
  <c r="D4" i="5"/>
  <c r="D5" i="5"/>
  <c r="D6" i="5"/>
  <c r="D7" i="5"/>
  <c r="D8" i="5"/>
  <c r="D3" i="5"/>
  <c r="C1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tc={18C140C0-C6F8-074A-91CD-75BB99D0379D}</author>
  </authors>
  <commentList>
    <comment ref="B10" authorId="0" shapeId="0" xr:uid="{18C140C0-C6F8-074A-91CD-75BB99D0379D}">
      <text>
        <t>[Threaded comment]
Your version of Excel allows you to read this threaded comment; however, any edits to it will get removed if the file is opened in a newer version of Excel. Learn more: https://go.microsoft.com/fwlink/?linkid=870924
Comment:
    I read somewhere saying the sign of SD in MXL is arbitrary, and we can ignore it?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tc={EAFB9D0D-C11B-4048-B7CC-114E2D3A5FE7}</author>
    <author>tc={20A15F17-6EEF-AA45-A750-8106A8D99E81}</author>
  </authors>
  <commentList>
    <comment ref="B7" authorId="0" shapeId="0" xr:uid="{EAFB9D0D-C11B-4048-B7CC-114E2D3A5FE7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assuming normal distribution significantly change the coefficients.</t>
      </text>
    </comment>
    <comment ref="B10" authorId="1" shapeId="0" xr:uid="{20A15F17-6EEF-AA45-A750-8106A8D99E81}">
      <text>
        <t>[Threaded comment]
Your version of Excel allows you to read this threaded comment; however, any edits to it will get removed if the file is opened in a newer version of Excel. Learn more: https://go.microsoft.com/fwlink/?linkid=870924
Comment:
    I read somewhere saying the sign of SD in MXL is arbitrary, and we can ignore it?</t>
      </text>
    </comment>
  </commentList>
</comments>
</file>

<file path=xl/sharedStrings.xml><?xml version="1.0" encoding="utf-8"?>
<sst xmlns="http://schemas.openxmlformats.org/spreadsheetml/2006/main" count="238" uniqueCount="140">
  <si>
    <t>pref</t>
  </si>
  <si>
    <t>wtp</t>
  </si>
  <si>
    <t>scalePar</t>
  </si>
  <si>
    <t>veh_mileage</t>
  </si>
  <si>
    <t>battery_range_year0</t>
  </si>
  <si>
    <t>battery_degradation</t>
  </si>
  <si>
    <t>battery_refurbishpackreplace</t>
  </si>
  <si>
    <t>battery_refurbishcellreplace</t>
  </si>
  <si>
    <t>no_choice</t>
  </si>
  <si>
    <t>logLik</t>
  </si>
  <si>
    <t xml:space="preserve">Model Coefficients: </t>
  </si>
  <si>
    <t>---</t>
  </si>
  <si>
    <t>Signif. codes:  0 ‘***’ 0.001 ‘**’ 0.01 ‘*’ 0.05 ‘.’ 0.1 ‘ ’ 1</t>
  </si>
  <si>
    <t xml:space="preserve">                                     </t>
  </si>
  <si>
    <t>Null Log-Likelihood:    -3102.5267802</t>
  </si>
  <si>
    <t>BIC:                     5471.4841000</t>
  </si>
  <si>
    <t>McFadden R2:                0.1269228</t>
  </si>
  <si>
    <t>Adj McFadden R2:            0.1246666</t>
  </si>
  <si>
    <t>Number of Observations:  2238.0000000</t>
  </si>
  <si>
    <t>Estimate</t>
  </si>
  <si>
    <t>Std. Error</t>
  </si>
  <si>
    <t>z-value</t>
  </si>
  <si>
    <t>Pr(&gt;|z|)</t>
  </si>
  <si>
    <t>***</t>
  </si>
  <si>
    <t>veh_price</t>
  </si>
  <si>
    <t>&lt; 2.2e-16</t>
  </si>
  <si>
    <t>McFadden R2:                0.1315179</t>
  </si>
  <si>
    <t>Adj McFadden R2:            0.1286170</t>
  </si>
  <si>
    <t>battery_range_year0 -Inf -0.5499640  0.7798919  0.7786966  2.1093255  Inf</t>
  </si>
  <si>
    <t>battery_degradation -Inf -0.9210807 -0.5463279 -0.5467297 -0.1714698  Inf</t>
  </si>
  <si>
    <t>Log-Likelihood:         -2708.7453819</t>
  </si>
  <si>
    <t>AIC:                     5431.4907638</t>
  </si>
  <si>
    <t>sd_battery_range_year0</t>
  </si>
  <si>
    <t>sd_battery_degradation</t>
  </si>
  <si>
    <t>Interpretation</t>
  </si>
  <si>
    <t>----</t>
  </si>
  <si>
    <t>Negative utility of opting out </t>
  </si>
  <si>
    <r>
      <t xml:space="preserve">Respondents are willing to pay </t>
    </r>
    <r>
      <rPr>
        <b/>
        <sz val="12"/>
        <color rgb="FFC00000"/>
        <rFont val="Aptos Narrow"/>
        <scheme val="minor"/>
      </rPr>
      <t>$3,506 less</t>
    </r>
    <r>
      <rPr>
        <sz val="12"/>
        <color rgb="FFC00000"/>
        <rFont val="Aptos Narrow"/>
        <scheme val="minor"/>
      </rPr>
      <t xml:space="preserve"> (0.3506 × $10,000) for each additional 10,000 miles on the odometer.</t>
    </r>
  </si>
  <si>
    <r>
      <t xml:space="preserve">Respondents are willing to pay </t>
    </r>
    <r>
      <rPr>
        <b/>
        <sz val="12"/>
        <color rgb="FFC00000"/>
        <rFont val="Aptos Narrow"/>
        <scheme val="minor"/>
      </rPr>
      <t>$7,805 more</t>
    </r>
    <r>
      <rPr>
        <sz val="12"/>
        <color rgb="FFC00000"/>
        <rFont val="Aptos Narrow"/>
        <scheme val="minor"/>
      </rPr>
      <t xml:space="preserve"> for each additional 100 miles of battery range.</t>
    </r>
  </si>
  <si>
    <r>
      <t xml:space="preserve">Respondents are willing to pay </t>
    </r>
    <r>
      <rPr>
        <b/>
        <sz val="12"/>
        <color rgb="FFC00000"/>
        <rFont val="Aptos Narrow"/>
        <scheme val="minor"/>
      </rPr>
      <t>$5,459 less</t>
    </r>
    <r>
      <rPr>
        <sz val="12"/>
        <color rgb="FFC00000"/>
        <rFont val="Aptos Narrow"/>
        <scheme val="minor"/>
      </rPr>
      <t xml:space="preserve"> for each 1% increase in battery degradation.</t>
    </r>
  </si>
  <si>
    <r>
      <t xml:space="preserve">Respondents would pay </t>
    </r>
    <r>
      <rPr>
        <b/>
        <sz val="12"/>
        <color rgb="FFC00000"/>
        <rFont val="Aptos Narrow"/>
        <scheme val="minor"/>
      </rPr>
      <t>$5,215 less</t>
    </r>
    <r>
      <rPr>
        <sz val="12"/>
        <color rgb="FFC00000"/>
        <rFont val="Aptos Narrow"/>
        <scheme val="minor"/>
      </rPr>
      <t xml:space="preserve"> for a refurbished pack replacement (vs new battery).</t>
    </r>
  </si>
  <si>
    <r>
      <t xml:space="preserve">Respondents would pay </t>
    </r>
    <r>
      <rPr>
        <b/>
        <sz val="12"/>
        <color rgb="FFC00000"/>
        <rFont val="Aptos Narrow"/>
        <scheme val="minor"/>
      </rPr>
      <t>$7,113 less</t>
    </r>
    <r>
      <rPr>
        <sz val="12"/>
        <color rgb="FFC00000"/>
        <rFont val="Aptos Narrow"/>
        <scheme val="minor"/>
      </rPr>
      <t xml:space="preserve"> for a refurbished cell replacement (vs new battery).</t>
    </r>
  </si>
  <si>
    <t>Log-Likelihood:         -2693.0357838</t>
  </si>
  <si>
    <t>AIC:                     5410.0715675</t>
  </si>
  <si>
    <t>BIC:                     5478.6316000</t>
  </si>
  <si>
    <t>McFadden R2:                0.1319863</t>
  </si>
  <si>
    <t>Adj McFadden R2:            0.1281185</t>
  </si>
  <si>
    <t>**</t>
  </si>
  <si>
    <t>sd_veh_mileage</t>
  </si>
  <si>
    <t>sd_battery_refurbishpackreplace</t>
  </si>
  <si>
    <t>sd_battery_refurbishcellreplace</t>
  </si>
  <si>
    <r>
      <rPr>
        <b/>
        <sz val="12"/>
        <color rgb="FFC00000"/>
        <rFont val="Aptos Narrow"/>
        <scheme val="minor"/>
      </rPr>
      <t xml:space="preserve">Moderate heterogeneity: </t>
    </r>
    <r>
      <rPr>
        <sz val="12"/>
        <color rgb="FFC00000"/>
        <rFont val="Aptos Narrow"/>
        <scheme val="minor"/>
      </rPr>
      <t>Some consumers are extremely sensitive to degradation (discounting $10,959 per 1%), while others show little concern (near-zero WTP effect). (even slightly positive?? --&gt; need more data cleaning?)</t>
    </r>
  </si>
  <si>
    <r>
      <rPr>
        <b/>
        <sz val="12"/>
        <color rgb="FFC00000"/>
        <rFont val="Aptos Narrow"/>
        <scheme val="minor"/>
      </rPr>
      <t xml:space="preserve">Substantial heterogeneity: </t>
    </r>
    <r>
      <rPr>
        <sz val="12"/>
        <color rgb="FFC00000"/>
        <rFont val="Aptos Narrow"/>
        <scheme val="minor"/>
      </rPr>
      <t>Many respondents value additional range more (up to $7,805 + $19,716), while some may value it less (even slightly negative?? --&gt; need more data cleaning?).</t>
    </r>
  </si>
  <si>
    <t>Log-Likelihood:         -2694.4890975</t>
  </si>
  <si>
    <t>AIC:                     5406.9781950</t>
  </si>
  <si>
    <t>BIC:                     5458.3982000</t>
  </si>
  <si>
    <r>
      <t xml:space="preserve">Respondents are willing to pay </t>
    </r>
    <r>
      <rPr>
        <b/>
        <sz val="12"/>
        <color rgb="FFC00000"/>
        <rFont val="Aptos Narrow"/>
        <scheme val="minor"/>
      </rPr>
      <t>$3,507 less</t>
    </r>
    <r>
      <rPr>
        <sz val="12"/>
        <color rgb="FFC00000"/>
        <rFont val="Aptos Narrow"/>
        <scheme val="minor"/>
      </rPr>
      <t xml:space="preserve"> (0.3507 × $10,000) for each additional 10,000 miles on the odometer.</t>
    </r>
  </si>
  <si>
    <r>
      <t xml:space="preserve">Respondents are willing to pay </t>
    </r>
    <r>
      <rPr>
        <b/>
        <sz val="12"/>
        <color rgb="FFC00000"/>
        <rFont val="Aptos Narrow"/>
        <scheme val="minor"/>
      </rPr>
      <t>$7,808 more</t>
    </r>
    <r>
      <rPr>
        <sz val="12"/>
        <color rgb="FFC00000"/>
        <rFont val="Aptos Narrow"/>
        <scheme val="minor"/>
      </rPr>
      <t xml:space="preserve"> for each additional 100 miles of battery range.</t>
    </r>
  </si>
  <si>
    <r>
      <t xml:space="preserve">Respondents are willing to pay </t>
    </r>
    <r>
      <rPr>
        <b/>
        <sz val="12"/>
        <color rgb="FFC00000"/>
        <rFont val="Aptos Narrow"/>
        <scheme val="minor"/>
      </rPr>
      <t>$5,460 less</t>
    </r>
    <r>
      <rPr>
        <sz val="12"/>
        <color rgb="FFC00000"/>
        <rFont val="Aptos Narrow"/>
        <scheme val="minor"/>
      </rPr>
      <t xml:space="preserve"> for each 1% increase in battery degradation.</t>
    </r>
  </si>
  <si>
    <r>
      <t xml:space="preserve">Respondents would pay </t>
    </r>
    <r>
      <rPr>
        <b/>
        <sz val="12"/>
        <color rgb="FFC00000"/>
        <rFont val="Aptos Narrow"/>
        <scheme val="minor"/>
      </rPr>
      <t>$5,213 less</t>
    </r>
    <r>
      <rPr>
        <sz val="12"/>
        <color rgb="FFC00000"/>
        <rFont val="Aptos Narrow"/>
        <scheme val="minor"/>
      </rPr>
      <t xml:space="preserve"> for a refurbished pack replacement (vs new battery).</t>
    </r>
  </si>
  <si>
    <r>
      <t xml:space="preserve">Respondents would pay </t>
    </r>
    <r>
      <rPr>
        <b/>
        <sz val="12"/>
        <color rgb="FFC00000"/>
        <rFont val="Aptos Narrow"/>
        <scheme val="minor"/>
      </rPr>
      <t>$7,114 less</t>
    </r>
    <r>
      <rPr>
        <sz val="12"/>
        <color rgb="FFC00000"/>
        <rFont val="Aptos Narrow"/>
        <scheme val="minor"/>
      </rPr>
      <t xml:space="preserve"> for a refurbished cell replacement (vs new battery).</t>
    </r>
  </si>
  <si>
    <r>
      <rPr>
        <b/>
        <sz val="12"/>
        <color rgb="FFC00000"/>
        <rFont val="Aptos Narrow"/>
        <scheme val="minor"/>
      </rPr>
      <t xml:space="preserve">Substantial heterogeneity: </t>
    </r>
    <r>
      <rPr>
        <sz val="12"/>
        <color rgb="FFC00000"/>
        <rFont val="Aptos Narrow"/>
        <scheme val="minor"/>
      </rPr>
      <t>Many respondents value additional range more (up to $7,808 + $19,714), while some may value it less (even slightly negative?? --&gt; need more data cleaning?).</t>
    </r>
  </si>
  <si>
    <r>
      <t>Most respondents h</t>
    </r>
    <r>
      <rPr>
        <sz val="12"/>
        <color rgb="FFC00000"/>
        <rFont val="Aptos Narrow (Body)"/>
      </rPr>
      <t xml:space="preserve">ave </t>
    </r>
    <r>
      <rPr>
        <b/>
        <sz val="12"/>
        <color rgb="FFC00000"/>
        <rFont val="Aptos Narrow (Body)"/>
      </rPr>
      <t>negative preferences</t>
    </r>
    <r>
      <rPr>
        <sz val="12"/>
        <color rgb="FFC00000"/>
        <rFont val="Aptos Narrow (Body)"/>
      </rPr>
      <t> (68% of respondents fall between –$6,300 and –$1,100 )</t>
    </r>
  </si>
  <si>
    <t>Substantial heterogeneity: while the average dislike is −0.72, a sizeable minority of respondents will have positive coefficients (i.e., they would prefer or be indifferent to refurbished pack replacement).</t>
  </si>
  <si>
    <t>most respondents consistently dislike the refurbished cell replace option; very few will have a positive coefficient.</t>
  </si>
  <si>
    <t>Estimates:</t>
  </si>
  <si>
    <t>s.e.</t>
  </si>
  <si>
    <t>t.rat.(0)</t>
  </si>
  <si>
    <t>p(1-sided)</t>
  </si>
  <si>
    <t>Rob.s.e.</t>
  </si>
  <si>
    <t>Rob.t.rat.(0)</t>
  </si>
  <si>
    <t>b_mileage</t>
  </si>
  <si>
    <t>b_range_year0</t>
  </si>
  <si>
    <t>b_degradation</t>
  </si>
  <si>
    <t>b_packreplace</t>
  </si>
  <si>
    <t>b_cellreplace</t>
  </si>
  <si>
    <t>asc_no_choice</t>
  </si>
  <si>
    <t>b_price</t>
  </si>
  <si>
    <t>Model without mixing</t>
  </si>
  <si>
    <t xml:space="preserve">Model name                                  </t>
  </si>
  <si>
    <t xml:space="preserve"> MNL_DCE_preference_space</t>
  </si>
  <si>
    <t xml:space="preserve">Model description                           </t>
  </si>
  <si>
    <t xml:space="preserve"> MNL model in preference-space</t>
  </si>
  <si>
    <t xml:space="preserve">Model run at                                </t>
  </si>
  <si>
    <t xml:space="preserve"> 2025-11-03 17</t>
  </si>
  <si>
    <t xml:space="preserve">Estimation method                           </t>
  </si>
  <si>
    <t xml:space="preserve"> bgw</t>
  </si>
  <si>
    <t xml:space="preserve">Model diagnosis                             </t>
  </si>
  <si>
    <t xml:space="preserve"> Relative function convergence</t>
  </si>
  <si>
    <t xml:space="preserve">Optimisation diagnosis                      </t>
  </si>
  <si>
    <t xml:space="preserve"> Maximum found</t>
  </si>
  <si>
    <t xml:space="preserve">     hessian properties                     </t>
  </si>
  <si>
    <t xml:space="preserve"> Negative definite</t>
  </si>
  <si>
    <t xml:space="preserve">     maximum eigenvalue                     </t>
  </si>
  <si>
    <t xml:space="preserve">     reciprocal of condition number         </t>
  </si>
  <si>
    <t xml:space="preserve">Number of individuals                       </t>
  </si>
  <si>
    <t xml:space="preserve">Number of rows in database                  </t>
  </si>
  <si>
    <t xml:space="preserve">Number of modelled outcomes                 </t>
  </si>
  <si>
    <t xml:space="preserve">Number of cores used                        </t>
  </si>
  <si>
    <t xml:space="preserve">LL(start)                                   </t>
  </si>
  <si>
    <t xml:space="preserve">LL at equal shares, LL(0)                   </t>
  </si>
  <si>
    <t xml:space="preserve">LL at observed shares, LL(C)                </t>
  </si>
  <si>
    <t xml:space="preserve">LL(final)                                   </t>
  </si>
  <si>
    <t xml:space="preserve">Rho-squared vs equal shares                  </t>
  </si>
  <si>
    <t xml:space="preserve">Adj.Rho-squared vs equal shares              </t>
  </si>
  <si>
    <t xml:space="preserve">Rho-squared vs observed shares               </t>
  </si>
  <si>
    <t xml:space="preserve">Adj.Rho-squared vs observed shares           </t>
  </si>
  <si>
    <t xml:space="preserve">AIC                                         </t>
  </si>
  <si>
    <t xml:space="preserve">BIC                                         </t>
  </si>
  <si>
    <t>Model Coefficients</t>
  </si>
  <si>
    <t xml:space="preserve"> </t>
  </si>
  <si>
    <t>Signif. codes</t>
  </si>
  <si>
    <t xml:space="preserve">  0 ‘***’ 0.001 ‘**’ 0.01 ‘*’ 0.05 ‘.’ 0.1 ‘ ’ 1</t>
  </si>
  <si>
    <t>Log-Likelihood</t>
  </si>
  <si>
    <t>Null Log-Likelihood</t>
  </si>
  <si>
    <t>AIC</t>
  </si>
  <si>
    <t>BIC</t>
  </si>
  <si>
    <t>McFadden R2</t>
  </si>
  <si>
    <t>Adj McFadden R2</t>
  </si>
  <si>
    <t>Number of Observations</t>
  </si>
  <si>
    <t>mileage</t>
  </si>
  <si>
    <t>range_year0</t>
  </si>
  <si>
    <t>degradation</t>
  </si>
  <si>
    <t>packreplace</t>
  </si>
  <si>
    <t>cellreplace</t>
  </si>
  <si>
    <t>class_1</t>
  </si>
  <si>
    <t>class_2</t>
  </si>
  <si>
    <t>class_3</t>
  </si>
  <si>
    <t>share</t>
  </si>
  <si>
    <t>class_allocation</t>
  </si>
  <si>
    <t>ATT_EVB_environment</t>
  </si>
  <si>
    <t>ATT_EVB_function</t>
  </si>
  <si>
    <t>FA_EV_benefit</t>
  </si>
  <si>
    <t>FA_EV_anxiety</t>
  </si>
  <si>
    <t>Showing 1 to 3 of 3 entries, 5 total columns</t>
  </si>
  <si>
    <t>n</t>
  </si>
  <si>
    <t>next_veh_fuel_used_bev</t>
  </si>
  <si>
    <t>Attributes</t>
  </si>
  <si>
    <t>Indicators</t>
  </si>
  <si>
    <t>class_4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</si>
</sst>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9" x14ac:knownFonts="1">
    <font>
      <sz val="12"/>
      <color theme="1"/>
      <name val="Aptos Narrow"/>
      <family val="2"/>
      <scheme val="minor"/>
    </font>
    <font>
      <sz val="12"/>
      <color rgb="FFC00000"/>
      <name val="Aptos Narrow"/>
      <scheme val="minor"/>
    </font>
    <font>
      <b/>
      <sz val="12"/>
      <color rgb="FFC00000"/>
      <name val="Aptos Narrow"/>
      <scheme val="minor"/>
    </font>
    <font>
      <sz val="12"/>
      <color rgb="FFC00000"/>
      <name val="Aptos Narrow (Body)"/>
    </font>
    <font>
      <b/>
      <sz val="12"/>
      <color rgb="FFC00000"/>
      <name val="Aptos Narrow (Body)"/>
    </font>
    <font>
      <sz val="12"/>
      <color theme="1"/>
      <name val="Aptos Narrow"/>
      <family val="2"/>
      <scheme val="minor"/>
    </font>
    <font>
      <sz val="11"/>
      <color rgb="FFFFFFFF"/>
      <name val="Lucida Grande"/>
      <family val="2"/>
    </font>
    <font>
      <sz val="11"/>
      <color theme="1"/>
      <name val="Lucida Grande"/>
      <family val="2"/>
    </font>
    <font>
      <b/>
      <sz val="11"/>
      <color theme="1"/>
      <name val="Lucida Grande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6">
    <xf numFmtId="0" fontId="0" fillId="0" borderId="0" xfId="0"/>
    <xf numFmtId="11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64" fontId="1" fillId="0" borderId="0" xfId="0" applyNumberFormat="1" applyFont="1" applyAlignment="1">
      <alignment wrapText="1"/>
    </xf>
    <xf numFmtId="0" fontId="1" fillId="0" borderId="0" xfId="0" quotePrefix="1" applyFont="1" applyAlignment="1">
      <alignment wrapText="1"/>
    </xf>
    <xf numFmtId="165" fontId="0" fillId="2" borderId="0" xfId="0" applyNumberFormat="1" applyFill="1"/>
    <xf numFmtId="165" fontId="0" fillId="3" borderId="0" xfId="0" applyNumberFormat="1" applyFill="1"/>
    <xf numFmtId="165" fontId="0" fillId="4" borderId="0" xfId="0" applyNumberFormat="1" applyFill="1"/>
    <xf numFmtId="0" fontId="1" fillId="4" borderId="0" xfId="0" applyFont="1" applyFill="1" applyAlignment="1">
      <alignment wrapText="1"/>
    </xf>
    <xf numFmtId="2" fontId="0" fillId="0" borderId="0" xfId="0" applyNumberFormat="1"/>
    <xf numFmtId="1" fontId="0" fillId="0" borderId="0" xfId="0" applyNumberFormat="1"/>
    <xf numFmtId="2" fontId="0" fillId="0" borderId="0" xfId="0" applyNumberFormat="1" applyFont="1" applyAlignment="1">
      <alignment horizontal="center"/>
    </xf>
    <xf numFmtId="0" fontId="0" fillId="0" borderId="0" xfId="0" applyFont="1" applyAlignment="1"/>
    <xf numFmtId="1" fontId="0" fillId="0" borderId="0" xfId="0" applyNumberFormat="1" applyFont="1" applyAlignment="1"/>
    <xf numFmtId="2" fontId="0" fillId="0" borderId="0" xfId="0" applyNumberFormat="1" applyFont="1" applyAlignment="1"/>
    <xf numFmtId="2" fontId="7" fillId="0" borderId="0" xfId="0" applyNumberFormat="1" applyFont="1" applyAlignment="1"/>
    <xf numFmtId="2" fontId="6" fillId="0" borderId="0" xfId="0" applyNumberFormat="1" applyFont="1" applyAlignment="1"/>
    <xf numFmtId="0" fontId="6" fillId="0" borderId="0" xfId="0" applyFont="1" applyAlignment="1"/>
    <xf numFmtId="1" fontId="5" fillId="0" borderId="0" xfId="1" applyNumberFormat="1" applyFont="1" applyAlignment="1"/>
    <xf numFmtId="0" fontId="7" fillId="0" borderId="0" xfId="0" applyFont="1" applyAlignment="1"/>
    <xf numFmtId="1" fontId="7" fillId="0" borderId="0" xfId="0" applyNumberFormat="1" applyFont="1" applyAlignment="1"/>
    <xf numFmtId="9" fontId="0" fillId="0" borderId="0" xfId="1" applyFont="1" applyAlignment="1"/>
    <xf numFmtId="2" fontId="8" fillId="0" borderId="0" xfId="0" applyNumberFormat="1" applyFont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ogansen, Xiatian (Assoc)" id="{6C956E13-F787-0C48-957E-04F303557D97}" userId="S::xnw17@NIST.GOV::fd2e0304-9e4b-4254-9e2e-ab3a6543019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0" dT="2025-10-30T04:26:39.06" personId="{6C956E13-F787-0C48-957E-04F303557D97}" id="{18C140C0-C6F8-074A-91CD-75BB99D0379D}">
    <text>I read somewhere saying the sign of SD in MXL is arbitrary, and we can ignore it?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7" dT="2025-10-30T04:35:44.91" personId="{6C956E13-F787-0C48-957E-04F303557D97}" id="{EAFB9D0D-C11B-4048-B7CC-114E2D3A5FE7}">
    <text>assuming normal distribution significantly change the coefficients.</text>
  </threadedComment>
  <threadedComment ref="B10" dT="2025-10-30T04:26:39.06" personId="{6C956E13-F787-0C48-957E-04F303557D97}" id="{20A15F17-6EEF-AA45-A750-8106A8D99E81}">
    <text>I read somewhere saying the sign of SD in MXL is arbitrary, and we can ignore it?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3D6C5-CA58-9948-87F6-3771A0BD0381}">
  <dimension ref="A1:F19"/>
  <sheetViews>
    <sheetView zoomScale="158" workbookViewId="0">
      <selection activeCell="B5" sqref="B4:B5"/>
    </sheetView>
  </sheetViews>
  <sheetFormatPr baseColWidth="10" defaultRowHeight="16" x14ac:dyDescent="0.2"/>
  <cols>
    <col min="1" max="1" width="24.6640625" customWidth="1"/>
  </cols>
  <sheetData>
    <row r="1" spans="1:6" x14ac:dyDescent="0.2">
      <c r="A1" t="s">
        <v>109</v>
      </c>
      <c r="B1" t="s">
        <v>110</v>
      </c>
    </row>
    <row r="2" spans="1:6" x14ac:dyDescent="0.2">
      <c r="B2" t="s">
        <v>19</v>
      </c>
      <c r="C2" t="s">
        <v>20</v>
      </c>
      <c r="D2" t="s">
        <v>21</v>
      </c>
      <c r="E2" t="s">
        <v>22</v>
      </c>
    </row>
    <row r="3" spans="1:6" x14ac:dyDescent="0.2">
      <c r="A3" t="s">
        <v>3</v>
      </c>
      <c r="B3" s="12">
        <v>-0.180009</v>
      </c>
      <c r="C3" s="12">
        <v>2.4830000000000001E-2</v>
      </c>
      <c r="D3" s="12">
        <v>-7.2497999999999996</v>
      </c>
      <c r="E3" s="12">
        <v>4.1740000000000002E-13</v>
      </c>
      <c r="F3" s="12" t="s">
        <v>23</v>
      </c>
    </row>
    <row r="4" spans="1:6" x14ac:dyDescent="0.2">
      <c r="A4" t="s">
        <v>24</v>
      </c>
      <c r="B4" s="12">
        <v>-0.26925900000000003</v>
      </c>
      <c r="C4" s="12">
        <v>3.8856000000000002E-2</v>
      </c>
      <c r="D4" s="12">
        <v>-6.9295999999999998</v>
      </c>
      <c r="E4" s="12">
        <v>4.2200000000000002E-12</v>
      </c>
      <c r="F4" s="12" t="s">
        <v>23</v>
      </c>
    </row>
    <row r="5" spans="1:6" x14ac:dyDescent="0.2">
      <c r="A5" t="s">
        <v>4</v>
      </c>
      <c r="B5" s="12">
        <v>0.43724400000000002</v>
      </c>
      <c r="C5" s="12">
        <v>5.1194000000000003E-2</v>
      </c>
      <c r="D5" s="12">
        <v>8.5410000000000004</v>
      </c>
      <c r="E5" s="12" t="s">
        <v>25</v>
      </c>
      <c r="F5" s="12" t="s">
        <v>23</v>
      </c>
    </row>
    <row r="6" spans="1:6" x14ac:dyDescent="0.2">
      <c r="A6" t="s">
        <v>5</v>
      </c>
      <c r="B6" s="12">
        <v>-0.248443</v>
      </c>
      <c r="C6" s="12">
        <v>1.342E-2</v>
      </c>
      <c r="D6" s="12">
        <v>-18.512799999999999</v>
      </c>
      <c r="E6" s="12" t="s">
        <v>25</v>
      </c>
      <c r="F6" s="12" t="s">
        <v>23</v>
      </c>
    </row>
    <row r="7" spans="1:6" x14ac:dyDescent="0.2">
      <c r="A7" t="s">
        <v>6</v>
      </c>
      <c r="B7" s="12">
        <v>-0.31741399999999997</v>
      </c>
      <c r="C7" s="12">
        <v>6.8989999999999996E-2</v>
      </c>
      <c r="D7" s="12">
        <v>-4.6009000000000002</v>
      </c>
      <c r="E7" s="12">
        <v>4.2080000000000002E-6</v>
      </c>
      <c r="F7" s="12" t="s">
        <v>23</v>
      </c>
    </row>
    <row r="8" spans="1:6" x14ac:dyDescent="0.2">
      <c r="A8" t="s">
        <v>7</v>
      </c>
      <c r="B8" s="12">
        <v>-0.39115899999999998</v>
      </c>
      <c r="C8" s="12">
        <v>6.9182999999999995E-2</v>
      </c>
      <c r="D8" s="12">
        <v>-5.6539999999999999</v>
      </c>
      <c r="E8" s="12">
        <v>1.5679999999999999E-8</v>
      </c>
      <c r="F8" s="12" t="s">
        <v>23</v>
      </c>
    </row>
    <row r="9" spans="1:6" x14ac:dyDescent="0.2">
      <c r="A9" t="s">
        <v>8</v>
      </c>
      <c r="B9" s="12">
        <v>-2.3026960000000001</v>
      </c>
      <c r="C9" s="12">
        <v>0.226659</v>
      </c>
      <c r="D9" s="12">
        <v>-10.1593</v>
      </c>
      <c r="E9" s="12" t="s">
        <v>25</v>
      </c>
      <c r="F9" s="12" t="s">
        <v>23</v>
      </c>
    </row>
    <row r="10" spans="1:6" x14ac:dyDescent="0.2">
      <c r="A10" t="s">
        <v>11</v>
      </c>
    </row>
    <row r="11" spans="1:6" x14ac:dyDescent="0.2">
      <c r="A11" t="s">
        <v>111</v>
      </c>
      <c r="B11" t="s">
        <v>112</v>
      </c>
    </row>
    <row r="12" spans="1:6" x14ac:dyDescent="0.2">
      <c r="A12" t="s">
        <v>13</v>
      </c>
    </row>
    <row r="13" spans="1:6" x14ac:dyDescent="0.2">
      <c r="A13" t="s">
        <v>113</v>
      </c>
      <c r="B13">
        <v>-2708.7453761000002</v>
      </c>
    </row>
    <row r="14" spans="1:6" x14ac:dyDescent="0.2">
      <c r="A14" t="s">
        <v>114</v>
      </c>
      <c r="B14">
        <v>-3102.5267801999998</v>
      </c>
    </row>
    <row r="15" spans="1:6" x14ac:dyDescent="0.2">
      <c r="A15" t="s">
        <v>115</v>
      </c>
      <c r="B15">
        <v>5431.4907523000002</v>
      </c>
    </row>
    <row r="16" spans="1:6" x14ac:dyDescent="0.2">
      <c r="A16" t="s">
        <v>116</v>
      </c>
      <c r="B16">
        <v>5471.4840999999997</v>
      </c>
    </row>
    <row r="17" spans="1:3" x14ac:dyDescent="0.2">
      <c r="A17" t="s">
        <v>117</v>
      </c>
      <c r="B17">
        <v>0.1269228</v>
      </c>
    </row>
    <row r="18" spans="1:3" x14ac:dyDescent="0.2">
      <c r="A18" t="s">
        <v>118</v>
      </c>
      <c r="B18">
        <v>0.1246666</v>
      </c>
    </row>
    <row r="19" spans="1:3" x14ac:dyDescent="0.2">
      <c r="A19" t="s">
        <v>119</v>
      </c>
      <c r="B19">
        <v>2238</v>
      </c>
      <c r="C19">
        <f>B19/24</f>
        <v>93.25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6E36-06EA-2D4A-8F8A-37A002B2072F}">
  <dimension ref="A1:H37"/>
  <sheetViews>
    <sheetView zoomScale="158" workbookViewId="0">
      <selection activeCell="B21" sqref="B21"/>
    </sheetView>
  </sheetViews>
  <sheetFormatPr baseColWidth="10" defaultRowHeight="16" x14ac:dyDescent="0.2"/>
  <cols>
    <col min="1" max="1" width="24.6640625" customWidth="1"/>
    <col min="2" max="8" width="10.83203125" style="12"/>
  </cols>
  <sheetData>
    <row r="1" spans="1:8" x14ac:dyDescent="0.2">
      <c r="A1" t="s">
        <v>65</v>
      </c>
    </row>
    <row r="2" spans="1:8" x14ac:dyDescent="0.2">
      <c r="B2" s="12" t="s">
        <v>19</v>
      </c>
      <c r="C2" s="12" t="s">
        <v>66</v>
      </c>
      <c r="D2" s="12" t="s">
        <v>67</v>
      </c>
      <c r="E2" s="12" t="s">
        <v>68</v>
      </c>
      <c r="F2" s="12" t="s">
        <v>69</v>
      </c>
      <c r="G2" s="12" t="s">
        <v>70</v>
      </c>
      <c r="H2" s="12" t="s">
        <v>68</v>
      </c>
    </row>
    <row r="3" spans="1:8" x14ac:dyDescent="0.2">
      <c r="A3" t="s">
        <v>71</v>
      </c>
      <c r="B3" s="12">
        <v>2.1170000000000001E-2</v>
      </c>
      <c r="C3" s="12">
        <v>2.911E-2</v>
      </c>
      <c r="D3" s="12">
        <v>0.72729999999999995</v>
      </c>
      <c r="E3" s="12">
        <v>0.23351</v>
      </c>
      <c r="F3" s="12">
        <v>3.2070000000000001E-2</v>
      </c>
      <c r="G3" s="12">
        <v>0.6603</v>
      </c>
      <c r="H3" s="12">
        <v>0.25453399999999998</v>
      </c>
    </row>
    <row r="4" spans="1:8" x14ac:dyDescent="0.2">
      <c r="A4" t="s">
        <v>77</v>
      </c>
      <c r="B4" s="12">
        <v>-8.4059999999999996E-2</v>
      </c>
      <c r="C4" s="12">
        <v>2.2870000000000001E-2</v>
      </c>
      <c r="D4" s="12">
        <v>-3.6751999999999998</v>
      </c>
      <c r="E4" s="12">
        <v>1.1883999999999999E-4</v>
      </c>
      <c r="F4" s="12">
        <v>5.901E-2</v>
      </c>
      <c r="G4" s="12">
        <v>-1.4245000000000001</v>
      </c>
      <c r="H4" s="12">
        <v>7.7151999999999998E-2</v>
      </c>
    </row>
    <row r="5" spans="1:8" x14ac:dyDescent="0.2">
      <c r="A5" t="s">
        <v>72</v>
      </c>
      <c r="B5" s="12">
        <v>0.22944000000000001</v>
      </c>
      <c r="C5" s="12">
        <v>4.5679999999999998E-2</v>
      </c>
      <c r="D5" s="12">
        <v>5.0225999999999997</v>
      </c>
      <c r="E5" s="12">
        <v>2.5489999999999999E-7</v>
      </c>
      <c r="F5" s="12">
        <v>5.3940000000000002E-2</v>
      </c>
      <c r="G5" s="12">
        <v>4.2534999999999998</v>
      </c>
      <c r="H5" s="12">
        <v>1.0519999999999999E-5</v>
      </c>
    </row>
    <row r="6" spans="1:8" x14ac:dyDescent="0.2">
      <c r="A6" t="s">
        <v>73</v>
      </c>
      <c r="B6" s="12">
        <v>-6.0639999999999999E-2</v>
      </c>
      <c r="C6" s="12">
        <v>1.541E-2</v>
      </c>
      <c r="D6" s="12">
        <v>-3.9361000000000002</v>
      </c>
      <c r="E6" s="12">
        <v>4.1409999999999998E-5</v>
      </c>
      <c r="F6" s="12">
        <v>1.5480000000000001E-2</v>
      </c>
      <c r="G6" s="12">
        <v>-3.9180000000000001</v>
      </c>
      <c r="H6" s="12">
        <v>4.464E-5</v>
      </c>
    </row>
    <row r="7" spans="1:8" x14ac:dyDescent="0.2">
      <c r="A7" t="s">
        <v>74</v>
      </c>
      <c r="B7" s="12">
        <v>-0.36864999999999998</v>
      </c>
      <c r="C7" s="12">
        <v>9.0120000000000006E-2</v>
      </c>
      <c r="D7" s="12">
        <v>-4.0907999999999998</v>
      </c>
      <c r="E7" s="12">
        <v>2.1489999999999999E-5</v>
      </c>
      <c r="F7" s="12">
        <v>9.8290000000000002E-2</v>
      </c>
      <c r="G7" s="12">
        <v>-3.7505000000000002</v>
      </c>
      <c r="H7" s="12">
        <v>8.8239999999999995E-5</v>
      </c>
    </row>
    <row r="8" spans="1:8" x14ac:dyDescent="0.2">
      <c r="A8" t="s">
        <v>75</v>
      </c>
      <c r="B8" s="12">
        <v>-0.26269999999999999</v>
      </c>
      <c r="C8" s="12">
        <v>9.1829999999999995E-2</v>
      </c>
      <c r="D8" s="12">
        <v>-2.8609</v>
      </c>
      <c r="E8" s="12">
        <v>2.1120000000000002E-3</v>
      </c>
      <c r="F8" s="12">
        <v>9.7360000000000002E-2</v>
      </c>
      <c r="G8" s="12">
        <v>-2.6981000000000002</v>
      </c>
      <c r="H8" s="12">
        <v>3.4859999999999999E-3</v>
      </c>
    </row>
    <row r="9" spans="1:8" x14ac:dyDescent="0.2">
      <c r="A9" t="s">
        <v>76</v>
      </c>
      <c r="B9" s="12">
        <v>-0.86951000000000001</v>
      </c>
      <c r="C9" s="12">
        <v>6.2260000000000003E-2</v>
      </c>
      <c r="D9" s="12">
        <v>-13.9651</v>
      </c>
      <c r="E9" s="12">
        <v>0</v>
      </c>
      <c r="F9" s="12">
        <v>0.10704</v>
      </c>
      <c r="G9" s="12">
        <v>-8.1231000000000009</v>
      </c>
      <c r="H9" s="12">
        <v>2.2200000000000001E-16</v>
      </c>
    </row>
    <row r="12" spans="1:8" x14ac:dyDescent="0.2">
      <c r="A12" t="s">
        <v>79</v>
      </c>
      <c r="B12" s="12" t="s">
        <v>80</v>
      </c>
    </row>
    <row r="13" spans="1:8" x14ac:dyDescent="0.2">
      <c r="A13" t="s">
        <v>81</v>
      </c>
      <c r="B13" s="12" t="s">
        <v>82</v>
      </c>
    </row>
    <row r="14" spans="1:8" x14ac:dyDescent="0.2">
      <c r="A14" t="s">
        <v>83</v>
      </c>
      <c r="B14" s="12" t="s">
        <v>84</v>
      </c>
      <c r="C14" s="12">
        <v>57</v>
      </c>
      <c r="D14" s="12">
        <v>31.904548999999999</v>
      </c>
    </row>
    <row r="15" spans="1:8" x14ac:dyDescent="0.2">
      <c r="A15" t="s">
        <v>85</v>
      </c>
      <c r="B15" s="12" t="s">
        <v>86</v>
      </c>
    </row>
    <row r="16" spans="1:8" x14ac:dyDescent="0.2">
      <c r="A16" t="s">
        <v>87</v>
      </c>
      <c r="B16" s="12" t="s">
        <v>88</v>
      </c>
    </row>
    <row r="17" spans="1:2" x14ac:dyDescent="0.2">
      <c r="A17" t="s">
        <v>89</v>
      </c>
      <c r="B17" s="12" t="s">
        <v>90</v>
      </c>
    </row>
    <row r="18" spans="1:2" x14ac:dyDescent="0.2">
      <c r="A18" t="s">
        <v>91</v>
      </c>
      <c r="B18" s="12" t="s">
        <v>92</v>
      </c>
    </row>
    <row r="19" spans="1:2" x14ac:dyDescent="0.2">
      <c r="A19" t="s">
        <v>93</v>
      </c>
      <c r="B19" s="12">
        <v>-77.090168000000006</v>
      </c>
    </row>
    <row r="20" spans="1:2" x14ac:dyDescent="0.2">
      <c r="A20" t="s">
        <v>94</v>
      </c>
      <c r="B20" s="12">
        <v>1.9451500000000001E-3</v>
      </c>
    </row>
    <row r="21" spans="1:2" x14ac:dyDescent="0.2">
      <c r="A21" t="s">
        <v>95</v>
      </c>
      <c r="B21" s="12">
        <v>373</v>
      </c>
    </row>
    <row r="22" spans="1:2" x14ac:dyDescent="0.2">
      <c r="A22" t="s">
        <v>96</v>
      </c>
      <c r="B22" s="12">
        <v>8952</v>
      </c>
    </row>
    <row r="23" spans="1:2" x14ac:dyDescent="0.2">
      <c r="A23" t="s">
        <v>97</v>
      </c>
      <c r="B23" s="12">
        <v>8952</v>
      </c>
    </row>
    <row r="25" spans="1:2" x14ac:dyDescent="0.2">
      <c r="A25" t="s">
        <v>98</v>
      </c>
      <c r="B25" s="12">
        <v>1</v>
      </c>
    </row>
    <row r="26" spans="1:2" x14ac:dyDescent="0.2">
      <c r="A26" t="s">
        <v>78</v>
      </c>
    </row>
    <row r="28" spans="1:2" x14ac:dyDescent="0.2">
      <c r="A28" t="s">
        <v>99</v>
      </c>
      <c r="B28" s="12">
        <v>-12410.11</v>
      </c>
    </row>
    <row r="29" spans="1:2" x14ac:dyDescent="0.2">
      <c r="A29" t="s">
        <v>100</v>
      </c>
      <c r="B29" s="12">
        <v>-12410.11</v>
      </c>
    </row>
    <row r="30" spans="1:2" x14ac:dyDescent="0.2">
      <c r="A30" t="s">
        <v>101</v>
      </c>
      <c r="B30" s="12">
        <v>-11980.16</v>
      </c>
    </row>
    <row r="31" spans="1:2" x14ac:dyDescent="0.2">
      <c r="A31" t="s">
        <v>102</v>
      </c>
      <c r="B31" s="12">
        <v>-11957.39</v>
      </c>
    </row>
    <row r="32" spans="1:2" x14ac:dyDescent="0.2">
      <c r="A32" t="s">
        <v>103</v>
      </c>
      <c r="B32" s="12">
        <v>3.6499999999999998E-2</v>
      </c>
    </row>
    <row r="33" spans="1:2" x14ac:dyDescent="0.2">
      <c r="A33" t="s">
        <v>104</v>
      </c>
      <c r="B33" s="12">
        <v>3.5900000000000001E-2</v>
      </c>
    </row>
    <row r="34" spans="1:2" x14ac:dyDescent="0.2">
      <c r="A34" t="s">
        <v>105</v>
      </c>
      <c r="B34" s="12">
        <v>1.9E-3</v>
      </c>
    </row>
    <row r="35" spans="1:2" x14ac:dyDescent="0.2">
      <c r="A35" t="s">
        <v>106</v>
      </c>
      <c r="B35" s="12">
        <v>1.6000000000000001E-3</v>
      </c>
    </row>
    <row r="36" spans="1:2" x14ac:dyDescent="0.2">
      <c r="A36" t="s">
        <v>107</v>
      </c>
      <c r="B36" s="12">
        <v>23928.77</v>
      </c>
    </row>
    <row r="37" spans="1:2" x14ac:dyDescent="0.2">
      <c r="A37" t="s">
        <v>108</v>
      </c>
      <c r="B37" s="12">
        <v>23978.47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044D3-FF48-F949-BEDB-50C8FB71579F}">
  <dimension ref="A1:F19"/>
  <sheetViews>
    <sheetView zoomScale="150" workbookViewId="0">
      <selection activeCell="C1" sqref="C1:C1048576"/>
    </sheetView>
  </sheetViews>
  <sheetFormatPr baseColWidth="10" defaultRowHeight="16" x14ac:dyDescent="0.2"/>
  <cols>
    <col min="1" max="1" width="22.5" customWidth="1"/>
    <col min="4" max="4" width="20.1640625" customWidth="1"/>
  </cols>
  <sheetData>
    <row r="1" spans="1:6" x14ac:dyDescent="0.2">
      <c r="A1" t="s">
        <v>10</v>
      </c>
    </row>
    <row r="2" spans="1:6" x14ac:dyDescent="0.2">
      <c r="B2" t="s">
        <v>19</v>
      </c>
      <c r="C2" t="s">
        <v>20</v>
      </c>
      <c r="D2" t="s">
        <v>21</v>
      </c>
      <c r="E2" t="s">
        <v>22</v>
      </c>
    </row>
    <row r="3" spans="1:6" x14ac:dyDescent="0.2">
      <c r="A3" t="s">
        <v>2</v>
      </c>
      <c r="B3">
        <v>0.26928999999999997</v>
      </c>
      <c r="C3">
        <v>3.8838999999999999E-2</v>
      </c>
      <c r="D3">
        <v>6.9333999999999998</v>
      </c>
      <c r="E3" s="1">
        <v>4.1070000000000002E-12</v>
      </c>
      <c r="F3" t="s">
        <v>23</v>
      </c>
    </row>
    <row r="4" spans="1:6" x14ac:dyDescent="0.2">
      <c r="A4" t="s">
        <v>3</v>
      </c>
      <c r="B4">
        <v>-0.66856599999999999</v>
      </c>
      <c r="C4">
        <v>0.13299</v>
      </c>
      <c r="D4">
        <v>-5.0271999999999997</v>
      </c>
      <c r="E4" s="1">
        <v>4.9770000000000002E-7</v>
      </c>
      <c r="F4" t="s">
        <v>23</v>
      </c>
    </row>
    <row r="5" spans="1:6" x14ac:dyDescent="0.2">
      <c r="A5" t="s">
        <v>4</v>
      </c>
      <c r="B5">
        <v>1.6232279999999999</v>
      </c>
      <c r="C5">
        <v>0.300904</v>
      </c>
      <c r="D5">
        <v>5.3944999999999999</v>
      </c>
      <c r="E5" s="1">
        <v>6.8709999999999998E-8</v>
      </c>
      <c r="F5" t="s">
        <v>23</v>
      </c>
    </row>
    <row r="6" spans="1:6" x14ac:dyDescent="0.2">
      <c r="A6" t="s">
        <v>5</v>
      </c>
      <c r="B6">
        <v>-0.92255200000000004</v>
      </c>
      <c r="C6">
        <v>0.14156099999999999</v>
      </c>
      <c r="D6">
        <v>-6.5170000000000003</v>
      </c>
      <c r="E6" s="1">
        <v>7.1729999999999994E-11</v>
      </c>
      <c r="F6" t="s">
        <v>23</v>
      </c>
    </row>
    <row r="7" spans="1:6" x14ac:dyDescent="0.2">
      <c r="A7" t="s">
        <v>6</v>
      </c>
      <c r="B7">
        <v>-1.179014</v>
      </c>
      <c r="C7">
        <v>0.30646800000000002</v>
      </c>
      <c r="D7">
        <v>-3.8471000000000002</v>
      </c>
      <c r="E7">
        <v>1.195E-4</v>
      </c>
      <c r="F7" t="s">
        <v>23</v>
      </c>
    </row>
    <row r="8" spans="1:6" x14ac:dyDescent="0.2">
      <c r="A8" t="s">
        <v>7</v>
      </c>
      <c r="B8">
        <v>-1.452915</v>
      </c>
      <c r="C8">
        <v>0.33077400000000001</v>
      </c>
      <c r="D8">
        <v>-4.3925000000000001</v>
      </c>
      <c r="E8" s="1">
        <v>1.1209999999999999E-5</v>
      </c>
      <c r="F8" t="s">
        <v>23</v>
      </c>
    </row>
    <row r="9" spans="1:6" x14ac:dyDescent="0.2">
      <c r="A9" t="s">
        <v>8</v>
      </c>
      <c r="B9">
        <v>-8.5530190000000008</v>
      </c>
      <c r="C9">
        <v>1.0270379999999999</v>
      </c>
      <c r="D9">
        <v>-8.3278999999999996</v>
      </c>
      <c r="E9" t="s">
        <v>25</v>
      </c>
      <c r="F9" t="s">
        <v>23</v>
      </c>
    </row>
    <row r="10" spans="1:6" x14ac:dyDescent="0.2">
      <c r="A10" t="s">
        <v>11</v>
      </c>
    </row>
    <row r="11" spans="1:6" x14ac:dyDescent="0.2">
      <c r="A11" t="s">
        <v>12</v>
      </c>
    </row>
    <row r="12" spans="1:6" x14ac:dyDescent="0.2">
      <c r="A12" t="s">
        <v>13</v>
      </c>
    </row>
    <row r="13" spans="1:6" x14ac:dyDescent="0.2">
      <c r="A13" t="s">
        <v>30</v>
      </c>
    </row>
    <row r="14" spans="1:6" x14ac:dyDescent="0.2">
      <c r="A14" t="s">
        <v>14</v>
      </c>
    </row>
    <row r="15" spans="1:6" x14ac:dyDescent="0.2">
      <c r="A15" t="s">
        <v>31</v>
      </c>
    </row>
    <row r="16" spans="1:6" x14ac:dyDescent="0.2">
      <c r="A16" t="s">
        <v>15</v>
      </c>
    </row>
    <row r="17" spans="1:1" x14ac:dyDescent="0.2">
      <c r="A17" t="s">
        <v>16</v>
      </c>
    </row>
    <row r="18" spans="1:1" x14ac:dyDescent="0.2">
      <c r="A18" t="s">
        <v>17</v>
      </c>
    </row>
    <row r="19" spans="1:1" x14ac:dyDescent="0.2">
      <c r="A19" t="s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B3222-C801-E043-841A-9324DF72711D}">
  <dimension ref="A1:D9"/>
  <sheetViews>
    <sheetView topLeftCell="A2" zoomScale="140" workbookViewId="0">
      <selection activeCell="D3" sqref="D3:D8"/>
    </sheetView>
  </sheetViews>
  <sheetFormatPr baseColWidth="10" defaultRowHeight="16" x14ac:dyDescent="0.2"/>
  <cols>
    <col min="1" max="1" width="27.1640625" customWidth="1"/>
  </cols>
  <sheetData>
    <row r="1" spans="1:4" x14ac:dyDescent="0.2">
      <c r="B1" t="s">
        <v>0</v>
      </c>
      <c r="C1" t="s">
        <v>1</v>
      </c>
    </row>
    <row r="2" spans="1:4" x14ac:dyDescent="0.2">
      <c r="A2" t="s">
        <v>2</v>
      </c>
      <c r="C2" s="2">
        <v>0.26928970000000002</v>
      </c>
    </row>
    <row r="3" spans="1:4" x14ac:dyDescent="0.2">
      <c r="A3" t="s">
        <v>3</v>
      </c>
      <c r="B3" s="2">
        <v>-0.66853189999999996</v>
      </c>
      <c r="C3" s="2">
        <v>-0.66856599999999999</v>
      </c>
      <c r="D3" s="13">
        <f>C3*10000</f>
        <v>-6685.66</v>
      </c>
    </row>
    <row r="4" spans="1:4" x14ac:dyDescent="0.2">
      <c r="A4" t="s">
        <v>4</v>
      </c>
      <c r="B4" s="2">
        <v>1.6238931999999999</v>
      </c>
      <c r="C4" s="2">
        <v>1.6232283000000001</v>
      </c>
      <c r="D4" s="13">
        <f t="shared" ref="D4:D8" si="0">C4*10000</f>
        <v>16232.283000000001</v>
      </c>
    </row>
    <row r="5" spans="1:4" x14ac:dyDescent="0.2">
      <c r="A5" t="s">
        <v>5</v>
      </c>
      <c r="B5" s="2">
        <v>-0.92270399999999997</v>
      </c>
      <c r="C5" s="2">
        <v>-0.92255169999999997</v>
      </c>
      <c r="D5" s="13">
        <f t="shared" si="0"/>
        <v>-9225.5169999999998</v>
      </c>
    </row>
    <row r="6" spans="1:4" x14ac:dyDescent="0.2">
      <c r="A6" t="s">
        <v>6</v>
      </c>
      <c r="B6" s="2">
        <v>-1.1788794</v>
      </c>
      <c r="C6" s="2">
        <v>-1.1790134999999999</v>
      </c>
      <c r="D6" s="13">
        <f t="shared" si="0"/>
        <v>-11790.135</v>
      </c>
    </row>
    <row r="7" spans="1:4" x14ac:dyDescent="0.2">
      <c r="A7" t="s">
        <v>7</v>
      </c>
      <c r="B7" s="2">
        <v>-1.4527574000000001</v>
      </c>
      <c r="C7" s="2">
        <v>-1.4529145000000001</v>
      </c>
      <c r="D7" s="13">
        <f t="shared" si="0"/>
        <v>-14529.145</v>
      </c>
    </row>
    <row r="8" spans="1:4" x14ac:dyDescent="0.2">
      <c r="A8" t="s">
        <v>8</v>
      </c>
      <c r="B8" s="2">
        <v>-8.5519996999999996</v>
      </c>
      <c r="C8" s="2">
        <v>-8.5530190000000008</v>
      </c>
      <c r="D8" s="13">
        <f t="shared" si="0"/>
        <v>-85530.19</v>
      </c>
    </row>
    <row r="9" spans="1:4" x14ac:dyDescent="0.2">
      <c r="A9" t="s">
        <v>9</v>
      </c>
      <c r="B9" s="2">
        <v>-2708.7453761000002</v>
      </c>
      <c r="C9" s="2">
        <v>-2708.7453819000002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ECF5B-770C-B54D-A122-56F31E5F4471}">
  <dimension ref="A1:H21"/>
  <sheetViews>
    <sheetView zoomScale="125" workbookViewId="0">
      <selection activeCell="G8" sqref="G8"/>
    </sheetView>
  </sheetViews>
  <sheetFormatPr baseColWidth="10" defaultRowHeight="16" x14ac:dyDescent="0.2"/>
  <cols>
    <col min="1" max="1" width="27.5" customWidth="1"/>
    <col min="2" max="2" width="10.83203125" style="3"/>
    <col min="3" max="5" width="10.83203125" style="2"/>
    <col min="6" max="6" width="6.33203125" style="2" customWidth="1"/>
    <col min="7" max="7" width="75.83203125" style="5" customWidth="1"/>
  </cols>
  <sheetData>
    <row r="1" spans="1:8" x14ac:dyDescent="0.2">
      <c r="A1" t="s">
        <v>10</v>
      </c>
    </row>
    <row r="2" spans="1:8" ht="17" x14ac:dyDescent="0.2">
      <c r="B2" s="3" t="s">
        <v>19</v>
      </c>
      <c r="C2" s="2" t="s">
        <v>20</v>
      </c>
      <c r="D2" s="2" t="s">
        <v>21</v>
      </c>
      <c r="E2" s="2" t="s">
        <v>22</v>
      </c>
      <c r="G2" s="6" t="s">
        <v>34</v>
      </c>
    </row>
    <row r="3" spans="1:8" ht="17" x14ac:dyDescent="0.2">
      <c r="A3" t="s">
        <v>2</v>
      </c>
      <c r="B3" s="3">
        <v>0.67381000000000002</v>
      </c>
      <c r="C3" s="2">
        <v>0.114853</v>
      </c>
      <c r="D3" s="2">
        <v>5.8666999999999998</v>
      </c>
      <c r="E3" s="2">
        <v>4.4450000000000003E-9</v>
      </c>
      <c r="F3" s="2" t="s">
        <v>23</v>
      </c>
      <c r="G3" s="7" t="s">
        <v>35</v>
      </c>
    </row>
    <row r="4" spans="1:8" ht="34" x14ac:dyDescent="0.2">
      <c r="A4" t="s">
        <v>3</v>
      </c>
      <c r="B4" s="3">
        <v>-0.35072900000000001</v>
      </c>
      <c r="C4" s="2">
        <v>6.5242999999999995E-2</v>
      </c>
      <c r="D4" s="2">
        <v>-5.3757000000000001</v>
      </c>
      <c r="E4" s="2">
        <v>7.6269999999999994E-8</v>
      </c>
      <c r="F4" s="2" t="s">
        <v>23</v>
      </c>
      <c r="G4" s="5" t="s">
        <v>56</v>
      </c>
    </row>
    <row r="5" spans="1:8" ht="17" x14ac:dyDescent="0.2">
      <c r="A5" t="s">
        <v>4</v>
      </c>
      <c r="B5" s="3">
        <v>0.78077200000000002</v>
      </c>
      <c r="C5" s="2">
        <v>0.16450200000000001</v>
      </c>
      <c r="D5" s="2">
        <v>4.7462999999999997</v>
      </c>
      <c r="E5" s="2">
        <v>2.0719999999999998E-6</v>
      </c>
      <c r="F5" s="2" t="s">
        <v>23</v>
      </c>
      <c r="G5" s="5" t="s">
        <v>57</v>
      </c>
    </row>
    <row r="6" spans="1:8" ht="17" x14ac:dyDescent="0.2">
      <c r="A6" t="s">
        <v>5</v>
      </c>
      <c r="B6" s="3">
        <v>-0.54600099999999996</v>
      </c>
      <c r="C6" s="2">
        <v>7.8025999999999998E-2</v>
      </c>
      <c r="D6" s="2">
        <v>-6.9977</v>
      </c>
      <c r="E6" s="2">
        <v>2.602E-12</v>
      </c>
      <c r="F6" s="2" t="s">
        <v>23</v>
      </c>
      <c r="G6" s="5" t="s">
        <v>58</v>
      </c>
    </row>
    <row r="7" spans="1:8" ht="17" x14ac:dyDescent="0.2">
      <c r="A7" t="s">
        <v>6</v>
      </c>
      <c r="B7" s="3">
        <v>-0.52132199999999995</v>
      </c>
      <c r="C7" s="2">
        <v>0.148309</v>
      </c>
      <c r="D7" s="2">
        <v>-3.5150999999999999</v>
      </c>
      <c r="E7" s="2">
        <v>4.3960000000000001E-4</v>
      </c>
      <c r="F7" s="2" t="s">
        <v>23</v>
      </c>
      <c r="G7" s="5" t="s">
        <v>59</v>
      </c>
    </row>
    <row r="8" spans="1:8" ht="17" x14ac:dyDescent="0.2">
      <c r="A8" t="s">
        <v>7</v>
      </c>
      <c r="B8" s="3">
        <v>-0.71137600000000001</v>
      </c>
      <c r="C8" s="2">
        <v>0.16147400000000001</v>
      </c>
      <c r="D8" s="2">
        <v>-4.4055</v>
      </c>
      <c r="E8" s="2">
        <v>1.0550000000000001E-5</v>
      </c>
      <c r="F8" s="2" t="s">
        <v>23</v>
      </c>
      <c r="G8" s="5" t="s">
        <v>60</v>
      </c>
    </row>
    <row r="9" spans="1:8" ht="17" x14ac:dyDescent="0.2">
      <c r="A9" t="s">
        <v>8</v>
      </c>
      <c r="B9" s="3">
        <v>-10.387777</v>
      </c>
      <c r="C9" s="2">
        <v>0.91375099999999998</v>
      </c>
      <c r="D9" s="2">
        <v>-11.3683</v>
      </c>
      <c r="E9" s="2" t="s">
        <v>25</v>
      </c>
      <c r="F9" s="2" t="s">
        <v>23</v>
      </c>
      <c r="G9" s="5" t="s">
        <v>36</v>
      </c>
    </row>
    <row r="10" spans="1:8" ht="51" x14ac:dyDescent="0.2">
      <c r="A10" t="s">
        <v>32</v>
      </c>
      <c r="B10" s="8">
        <v>1.9714389999999999</v>
      </c>
      <c r="C10" s="2">
        <v>0.25878299999999999</v>
      </c>
      <c r="D10" s="2">
        <v>7.6181000000000001</v>
      </c>
      <c r="E10" s="2">
        <v>2.5759999999999999E-14</v>
      </c>
      <c r="F10" s="2" t="s">
        <v>23</v>
      </c>
      <c r="G10" s="5" t="s">
        <v>61</v>
      </c>
    </row>
    <row r="11" spans="1:8" ht="51" x14ac:dyDescent="0.2">
      <c r="A11" t="s">
        <v>33</v>
      </c>
      <c r="B11" s="3">
        <v>0.55581700000000001</v>
      </c>
      <c r="C11" s="2">
        <v>8.9687000000000003E-2</v>
      </c>
      <c r="D11" s="2">
        <v>6.1973000000000003</v>
      </c>
      <c r="E11" s="2">
        <v>5.7450000000000003E-10</v>
      </c>
      <c r="F11" s="2" t="s">
        <v>23</v>
      </c>
      <c r="G11" s="5" t="s">
        <v>51</v>
      </c>
    </row>
    <row r="12" spans="1:8" x14ac:dyDescent="0.2">
      <c r="A12" t="s">
        <v>11</v>
      </c>
    </row>
    <row r="13" spans="1:8" x14ac:dyDescent="0.2">
      <c r="A13" t="s">
        <v>12</v>
      </c>
      <c r="B13" s="8"/>
    </row>
    <row r="14" spans="1:8" x14ac:dyDescent="0.2">
      <c r="A14" t="s">
        <v>13</v>
      </c>
      <c r="B14" s="8"/>
      <c r="H14" s="4"/>
    </row>
    <row r="15" spans="1:8" x14ac:dyDescent="0.2">
      <c r="A15" t="s">
        <v>53</v>
      </c>
    </row>
    <row r="16" spans="1:8" x14ac:dyDescent="0.2">
      <c r="A16" t="s">
        <v>14</v>
      </c>
    </row>
    <row r="17" spans="1:1" x14ac:dyDescent="0.2">
      <c r="A17" t="s">
        <v>54</v>
      </c>
    </row>
    <row r="18" spans="1:1" x14ac:dyDescent="0.2">
      <c r="A18" t="s">
        <v>55</v>
      </c>
    </row>
    <row r="19" spans="1:1" x14ac:dyDescent="0.2">
      <c r="A19" t="s">
        <v>26</v>
      </c>
    </row>
    <row r="20" spans="1:1" x14ac:dyDescent="0.2">
      <c r="A20" t="s">
        <v>27</v>
      </c>
    </row>
    <row r="21" spans="1:1" x14ac:dyDescent="0.2">
      <c r="A21" t="s">
        <v>18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2C3E1-23ED-8F4D-8176-67E98314F078}">
  <dimension ref="A1:H26"/>
  <sheetViews>
    <sheetView topLeftCell="A4" zoomScale="140" workbookViewId="0">
      <selection activeCell="G20" sqref="G20"/>
    </sheetView>
  </sheetViews>
  <sheetFormatPr baseColWidth="10" defaultRowHeight="16" x14ac:dyDescent="0.2"/>
  <cols>
    <col min="1" max="1" width="27.5" customWidth="1"/>
    <col min="2" max="2" width="10.83203125" style="3"/>
    <col min="3" max="5" width="10.83203125" style="2"/>
    <col min="6" max="6" width="6.33203125" style="2" customWidth="1"/>
    <col min="7" max="7" width="75.83203125" style="5" customWidth="1"/>
  </cols>
  <sheetData>
    <row r="1" spans="1:8" x14ac:dyDescent="0.2">
      <c r="A1" t="s">
        <v>10</v>
      </c>
    </row>
    <row r="2" spans="1:8" ht="17" x14ac:dyDescent="0.2">
      <c r="B2" s="3" t="s">
        <v>19</v>
      </c>
      <c r="C2" s="2" t="s">
        <v>20</v>
      </c>
      <c r="D2" s="2" t="s">
        <v>21</v>
      </c>
      <c r="E2" s="2" t="s">
        <v>22</v>
      </c>
      <c r="G2" s="6" t="s">
        <v>34</v>
      </c>
    </row>
    <row r="3" spans="1:8" ht="17" x14ac:dyDescent="0.2">
      <c r="A3" t="s">
        <v>2</v>
      </c>
      <c r="B3" s="3">
        <v>0.72178299999999995</v>
      </c>
      <c r="C3" s="2">
        <v>0.12818099999999999</v>
      </c>
      <c r="D3" s="2">
        <v>5.6310000000000002</v>
      </c>
      <c r="E3" s="2">
        <v>1.7920000000000001E-8</v>
      </c>
      <c r="F3" s="2" t="s">
        <v>23</v>
      </c>
      <c r="G3" s="7" t="s">
        <v>35</v>
      </c>
    </row>
    <row r="4" spans="1:8" ht="34" x14ac:dyDescent="0.2">
      <c r="A4" t="s">
        <v>3</v>
      </c>
      <c r="B4" s="3">
        <v>-0.36879000000000001</v>
      </c>
      <c r="C4" s="2">
        <v>6.9930000000000006E-2</v>
      </c>
      <c r="D4" s="2">
        <v>-5.2736999999999998</v>
      </c>
      <c r="E4" s="2">
        <v>1.3370000000000001E-7</v>
      </c>
      <c r="F4" s="2" t="s">
        <v>23</v>
      </c>
      <c r="G4" s="5" t="s">
        <v>37</v>
      </c>
    </row>
    <row r="5" spans="1:8" ht="17" x14ac:dyDescent="0.2">
      <c r="A5" t="s">
        <v>4</v>
      </c>
      <c r="B5" s="3">
        <v>0.75517800000000002</v>
      </c>
      <c r="C5" s="2">
        <v>0.156555</v>
      </c>
      <c r="D5" s="2">
        <v>4.8236999999999997</v>
      </c>
      <c r="E5" s="2">
        <v>1.409E-6</v>
      </c>
      <c r="F5" s="2" t="s">
        <v>23</v>
      </c>
      <c r="G5" s="5" t="s">
        <v>38</v>
      </c>
    </row>
    <row r="6" spans="1:8" ht="17" x14ac:dyDescent="0.2">
      <c r="A6" t="s">
        <v>5</v>
      </c>
      <c r="B6" s="3">
        <v>-0.53311900000000001</v>
      </c>
      <c r="C6" s="2">
        <v>7.4839000000000003E-2</v>
      </c>
      <c r="D6" s="2">
        <v>-7.1234999999999999</v>
      </c>
      <c r="E6" s="2">
        <v>1.052E-12</v>
      </c>
      <c r="F6" s="2" t="s">
        <v>23</v>
      </c>
      <c r="G6" s="5" t="s">
        <v>39</v>
      </c>
    </row>
    <row r="7" spans="1:8" ht="17" x14ac:dyDescent="0.2">
      <c r="A7" t="s">
        <v>6</v>
      </c>
      <c r="B7" s="9">
        <v>-0.72192699999999999</v>
      </c>
      <c r="C7" s="2">
        <v>0.22258</v>
      </c>
      <c r="D7" s="2">
        <v>-3.2435</v>
      </c>
      <c r="E7" s="2">
        <v>1.181E-3</v>
      </c>
      <c r="F7" s="2" t="s">
        <v>47</v>
      </c>
      <c r="G7" s="5" t="s">
        <v>40</v>
      </c>
    </row>
    <row r="8" spans="1:8" ht="17" x14ac:dyDescent="0.2">
      <c r="A8" t="s">
        <v>7</v>
      </c>
      <c r="B8" s="3">
        <v>-0.71375200000000005</v>
      </c>
      <c r="C8" s="2">
        <v>0.233986</v>
      </c>
      <c r="D8" s="2">
        <v>-3.0503999999999998</v>
      </c>
      <c r="E8" s="2">
        <v>2.2850000000000001E-3</v>
      </c>
      <c r="F8" s="2" t="s">
        <v>47</v>
      </c>
      <c r="G8" s="5" t="s">
        <v>41</v>
      </c>
    </row>
    <row r="9" spans="1:8" ht="17" x14ac:dyDescent="0.2">
      <c r="A9" t="s">
        <v>8</v>
      </c>
      <c r="B9" s="3">
        <v>-10.304404999999999</v>
      </c>
      <c r="C9" s="2">
        <v>0.88530900000000001</v>
      </c>
      <c r="D9" s="2">
        <v>-11.6393</v>
      </c>
      <c r="E9" s="2" t="s">
        <v>25</v>
      </c>
      <c r="F9" s="2" t="s">
        <v>23</v>
      </c>
      <c r="G9" s="5" t="s">
        <v>36</v>
      </c>
    </row>
    <row r="10" spans="1:8" ht="34" x14ac:dyDescent="0.2">
      <c r="A10" t="s">
        <v>48</v>
      </c>
      <c r="B10" s="10">
        <v>-0.25922000000000001</v>
      </c>
      <c r="C10" s="2">
        <v>0.17491899999999999</v>
      </c>
      <c r="D10" s="2">
        <v>-1.4819</v>
      </c>
      <c r="E10" s="2">
        <v>0.138354</v>
      </c>
      <c r="G10" s="11" t="s">
        <v>62</v>
      </c>
    </row>
    <row r="11" spans="1:8" ht="51" x14ac:dyDescent="0.2">
      <c r="A11" t="s">
        <v>32</v>
      </c>
      <c r="B11" s="3">
        <v>1.903621</v>
      </c>
      <c r="C11" s="2">
        <v>0.254639</v>
      </c>
      <c r="D11" s="2">
        <v>7.4757999999999996</v>
      </c>
      <c r="E11" s="2">
        <v>7.6829999999999999E-14</v>
      </c>
      <c r="F11" s="2" t="s">
        <v>23</v>
      </c>
      <c r="G11" s="5" t="s">
        <v>52</v>
      </c>
    </row>
    <row r="12" spans="1:8" ht="51" x14ac:dyDescent="0.2">
      <c r="A12" t="s">
        <v>33</v>
      </c>
      <c r="B12" s="3">
        <v>0.54768399999999995</v>
      </c>
      <c r="C12" s="2">
        <v>8.7680999999999995E-2</v>
      </c>
      <c r="D12" s="2">
        <v>6.2462999999999997</v>
      </c>
      <c r="E12" s="2">
        <v>4.2029999999999999E-10</v>
      </c>
      <c r="F12" s="2" t="s">
        <v>23</v>
      </c>
      <c r="G12" s="5" t="s">
        <v>51</v>
      </c>
    </row>
    <row r="13" spans="1:8" ht="51" x14ac:dyDescent="0.2">
      <c r="A13" t="s">
        <v>49</v>
      </c>
      <c r="B13" s="10">
        <v>-0.91086599999999995</v>
      </c>
      <c r="C13" s="2">
        <v>0.62588500000000002</v>
      </c>
      <c r="D13" s="2">
        <v>-1.4553</v>
      </c>
      <c r="E13" s="2">
        <v>0.14557899999999999</v>
      </c>
      <c r="G13" s="11" t="s">
        <v>63</v>
      </c>
    </row>
    <row r="14" spans="1:8" ht="34" x14ac:dyDescent="0.2">
      <c r="A14" t="s">
        <v>50</v>
      </c>
      <c r="B14" s="10">
        <v>-0.13042100000000001</v>
      </c>
      <c r="C14" s="2">
        <v>0.80495899999999998</v>
      </c>
      <c r="D14" s="2">
        <v>-0.16200000000000001</v>
      </c>
      <c r="E14" s="2">
        <v>0.87128899999999998</v>
      </c>
      <c r="G14" s="11" t="s">
        <v>64</v>
      </c>
      <c r="H14" s="4"/>
    </row>
    <row r="15" spans="1:8" x14ac:dyDescent="0.2">
      <c r="A15" t="s">
        <v>11</v>
      </c>
    </row>
    <row r="16" spans="1:8" x14ac:dyDescent="0.2">
      <c r="A16" t="s">
        <v>12</v>
      </c>
    </row>
    <row r="17" spans="1:1" x14ac:dyDescent="0.2">
      <c r="A17" t="s">
        <v>13</v>
      </c>
    </row>
    <row r="18" spans="1:1" x14ac:dyDescent="0.2">
      <c r="A18" t="s">
        <v>42</v>
      </c>
    </row>
    <row r="19" spans="1:1" x14ac:dyDescent="0.2">
      <c r="A19" t="s">
        <v>14</v>
      </c>
    </row>
    <row r="20" spans="1:1" x14ac:dyDescent="0.2">
      <c r="A20" t="s">
        <v>43</v>
      </c>
    </row>
    <row r="21" spans="1:1" x14ac:dyDescent="0.2">
      <c r="A21" t="s">
        <v>44</v>
      </c>
    </row>
    <row r="22" spans="1:1" x14ac:dyDescent="0.2">
      <c r="A22" t="s">
        <v>45</v>
      </c>
    </row>
    <row r="23" spans="1:1" x14ac:dyDescent="0.2">
      <c r="A23" t="s">
        <v>46</v>
      </c>
    </row>
    <row r="24" spans="1:1" x14ac:dyDescent="0.2">
      <c r="A24" t="s">
        <v>18</v>
      </c>
    </row>
    <row r="25" spans="1:1" x14ac:dyDescent="0.2">
      <c r="A25" t="s">
        <v>28</v>
      </c>
    </row>
    <row r="26" spans="1:1" x14ac:dyDescent="0.2">
      <c r="A26" t="s">
        <v>29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410A7-8855-C745-A45F-66147B214673}">
  <dimension ref="A1:T21"/>
  <sheetViews>
    <sheetView tabSelected="1" zoomScale="119"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F13" sqref="F13"/>
    </sheetView>
  </sheetViews>
  <sheetFormatPr baseColWidth="10" defaultRowHeight="16" x14ac:dyDescent="0.2"/>
  <cols>
    <col min="1" max="1" width="14.83203125" style="15" customWidth="1"/>
    <col min="2" max="2" width="10.83203125" style="15"/>
    <col min="3" max="3" width="10.83203125" style="16"/>
    <col min="4" max="4" width="14.1640625" style="17" customWidth="1"/>
    <col min="5" max="5" width="16.6640625" style="17" customWidth="1"/>
    <col min="6" max="6" width="15.1640625" style="17" customWidth="1"/>
    <col min="7" max="7" width="13.33203125" style="17" customWidth="1"/>
    <col min="8" max="8" width="12.1640625" style="17" customWidth="1"/>
    <col min="9" max="11" width="10.83203125" style="17"/>
    <col min="12" max="12" width="14.83203125" style="17" customWidth="1"/>
    <col min="13" max="15" width="10.83203125" style="17"/>
    <col min="16" max="16384" width="10.83203125" style="15"/>
  </cols>
  <sheetData>
    <row r="1" spans="1:20" x14ac:dyDescent="0.2">
      <c r="D1" s="14" t="s">
        <v>137</v>
      </c>
      <c r="E1" s="14"/>
      <c r="F1" s="14"/>
      <c r="G1" s="14"/>
      <c r="H1" s="14"/>
      <c r="J1" s="17" t="s">
        <v>138</v>
      </c>
    </row>
    <row r="2" spans="1:20" x14ac:dyDescent="0.2">
      <c r="A2" s="18" t="s">
        <v>129</v>
      </c>
      <c r="B2" s="15" t="s">
        <v>128</v>
      </c>
      <c r="C2" s="16" t="s">
        <v>135</v>
      </c>
      <c r="D2" s="17" t="s">
        <v>120</v>
      </c>
      <c r="E2" s="17" t="s">
        <v>121</v>
      </c>
      <c r="F2" s="17" t="s">
        <v>122</v>
      </c>
      <c r="G2" s="17" t="s">
        <v>123</v>
      </c>
      <c r="H2" s="17" t="s">
        <v>124</v>
      </c>
      <c r="J2" s="25" t="s">
        <v>132</v>
      </c>
      <c r="K2" s="25" t="s">
        <v>133</v>
      </c>
      <c r="L2" s="25" t="s">
        <v>136</v>
      </c>
      <c r="M2" s="18"/>
      <c r="N2" s="18"/>
      <c r="O2" s="19"/>
      <c r="P2" s="20"/>
      <c r="Q2" s="20" t="s">
        <v>130</v>
      </c>
      <c r="R2" s="20" t="s">
        <v>131</v>
      </c>
      <c r="S2" s="20" t="s">
        <v>132</v>
      </c>
      <c r="T2" s="20" t="s">
        <v>133</v>
      </c>
    </row>
    <row r="3" spans="1:20" x14ac:dyDescent="0.2">
      <c r="A3" s="17" t="s">
        <v>125</v>
      </c>
      <c r="B3" s="24">
        <v>0.1772</v>
      </c>
      <c r="C3" s="21">
        <f>B3*372</f>
        <v>65.918400000000005</v>
      </c>
      <c r="D3" s="17">
        <v>0.65003739999999999</v>
      </c>
      <c r="E3" s="17">
        <v>-2.271204</v>
      </c>
      <c r="F3" s="17">
        <v>0.90132829000000003</v>
      </c>
      <c r="G3" s="17">
        <v>3.95712149</v>
      </c>
      <c r="H3" s="17">
        <v>3.8451149</v>
      </c>
      <c r="J3" s="18">
        <v>-0.39437</v>
      </c>
      <c r="K3" s="18">
        <v>0.41982776999999999</v>
      </c>
      <c r="L3" s="18">
        <v>2</v>
      </c>
      <c r="M3" s="18"/>
      <c r="N3" s="18"/>
      <c r="O3" s="19"/>
      <c r="P3" s="20"/>
      <c r="Q3" s="20"/>
      <c r="R3" s="20"/>
      <c r="S3" s="20"/>
      <c r="T3" s="20"/>
    </row>
    <row r="4" spans="1:20" x14ac:dyDescent="0.2">
      <c r="A4" s="17" t="s">
        <v>126</v>
      </c>
      <c r="B4" s="24">
        <v>0.3886</v>
      </c>
      <c r="C4" s="21">
        <f t="shared" ref="C4:C6" si="0">B4*372</f>
        <v>144.5592</v>
      </c>
      <c r="D4" s="17">
        <v>-0.9654355</v>
      </c>
      <c r="E4" s="17">
        <v>3.9748670000000002</v>
      </c>
      <c r="F4" s="17">
        <v>-3.9763979999999997E-2</v>
      </c>
      <c r="G4" s="17">
        <v>-1.2284141500000001</v>
      </c>
      <c r="H4" s="17">
        <v>-1.9799268999999999</v>
      </c>
      <c r="J4" s="18">
        <v>0.16613530000000001</v>
      </c>
      <c r="K4" s="18">
        <v>-0.29613158000000001</v>
      </c>
      <c r="L4" s="18">
        <v>2.8913039999999999</v>
      </c>
      <c r="M4" s="18"/>
      <c r="N4" s="18"/>
      <c r="O4" s="19">
        <v>1</v>
      </c>
      <c r="P4" s="22"/>
    </row>
    <row r="5" spans="1:20" x14ac:dyDescent="0.2">
      <c r="A5" s="17" t="s">
        <v>127</v>
      </c>
      <c r="B5" s="24">
        <v>0.14249999999999999</v>
      </c>
      <c r="C5" s="21">
        <f t="shared" si="0"/>
        <v>53.01</v>
      </c>
      <c r="D5" s="17">
        <v>0.34968529999999998</v>
      </c>
      <c r="E5" s="17">
        <v>-2.7225920000000001</v>
      </c>
      <c r="F5" s="17">
        <v>0.45885195000000001</v>
      </c>
      <c r="G5" s="17">
        <v>-4.6759340000000003E-2</v>
      </c>
      <c r="H5" s="17">
        <v>-0.32098959999999999</v>
      </c>
      <c r="J5" s="18">
        <v>0.1629139</v>
      </c>
      <c r="K5" s="18">
        <v>-3.12401E-3</v>
      </c>
      <c r="L5" s="18">
        <v>2.528302</v>
      </c>
      <c r="M5" s="18"/>
      <c r="N5" s="18"/>
      <c r="O5" s="19">
        <v>2</v>
      </c>
      <c r="P5" s="22"/>
    </row>
    <row r="6" spans="1:20" x14ac:dyDescent="0.2">
      <c r="A6" s="17" t="s">
        <v>139</v>
      </c>
      <c r="B6" s="24">
        <v>0.29170000000000001</v>
      </c>
      <c r="C6" s="21">
        <f t="shared" si="0"/>
        <v>108.5124</v>
      </c>
      <c r="D6" s="17">
        <v>1.4220381</v>
      </c>
      <c r="E6" s="17">
        <v>5.8705629999999998</v>
      </c>
      <c r="F6" s="17">
        <v>-3.4632726699999998</v>
      </c>
      <c r="G6" s="17">
        <v>1.1389147500000001</v>
      </c>
      <c r="H6" s="17">
        <v>-0.39116719999999999</v>
      </c>
      <c r="J6" s="18">
        <v>0.2890162</v>
      </c>
      <c r="K6" s="18">
        <v>-8.5659849999999996E-2</v>
      </c>
      <c r="L6" s="18">
        <v>3</v>
      </c>
      <c r="O6" s="19">
        <v>3</v>
      </c>
      <c r="P6" s="22"/>
    </row>
    <row r="7" spans="1:20" x14ac:dyDescent="0.2">
      <c r="O7" s="19" t="s">
        <v>134</v>
      </c>
    </row>
    <row r="9" spans="1:20" x14ac:dyDescent="0.2">
      <c r="A9" s="18"/>
      <c r="D9" s="18"/>
      <c r="E9" s="18"/>
      <c r="F9" s="18"/>
      <c r="G9" s="18"/>
    </row>
    <row r="10" spans="1:20" x14ac:dyDescent="0.2">
      <c r="A10" s="18"/>
      <c r="G10" s="18"/>
    </row>
    <row r="11" spans="1:20" x14ac:dyDescent="0.2">
      <c r="A11" s="18"/>
    </row>
    <row r="12" spans="1:20" x14ac:dyDescent="0.2">
      <c r="A12" s="18"/>
    </row>
    <row r="13" spans="1:20" x14ac:dyDescent="0.2">
      <c r="A13" s="18"/>
      <c r="B13" s="18"/>
      <c r="C13" s="23"/>
    </row>
    <row r="14" spans="1:20" x14ac:dyDescent="0.2">
      <c r="A14" s="18"/>
      <c r="B14" s="17"/>
    </row>
    <row r="15" spans="1:20" x14ac:dyDescent="0.2">
      <c r="D15" s="18"/>
      <c r="E15" s="18"/>
      <c r="J15" s="25"/>
      <c r="K15" s="25"/>
      <c r="L15" s="25"/>
      <c r="M15" s="25"/>
      <c r="N15" s="15"/>
      <c r="O15" s="15"/>
    </row>
    <row r="16" spans="1:20" x14ac:dyDescent="0.2">
      <c r="D16" s="18"/>
      <c r="E16" s="18"/>
      <c r="H16" s="18"/>
      <c r="I16" s="18"/>
      <c r="J16" s="25"/>
      <c r="K16" s="25"/>
      <c r="L16" s="25"/>
      <c r="M16" s="25"/>
      <c r="N16" s="15"/>
      <c r="O16" s="15"/>
    </row>
    <row r="17" spans="4:15" x14ac:dyDescent="0.2">
      <c r="D17" s="18"/>
      <c r="E17" s="18"/>
      <c r="J17" s="18"/>
      <c r="K17" s="18"/>
      <c r="L17" s="18"/>
      <c r="M17" s="18"/>
      <c r="N17" s="15"/>
      <c r="O17" s="15"/>
    </row>
    <row r="18" spans="4:15" x14ac:dyDescent="0.2">
      <c r="D18" s="18"/>
      <c r="E18" s="18"/>
      <c r="J18" s="18"/>
      <c r="K18" s="18"/>
      <c r="L18" s="18"/>
      <c r="M18" s="18"/>
      <c r="N18" s="15"/>
      <c r="O18" s="15"/>
    </row>
    <row r="19" spans="4:15" x14ac:dyDescent="0.2">
      <c r="D19" s="18"/>
      <c r="E19" s="18"/>
      <c r="J19" s="18"/>
      <c r="K19" s="18"/>
      <c r="L19" s="18"/>
      <c r="M19" s="18"/>
      <c r="N19" s="15"/>
      <c r="O19" s="15"/>
    </row>
    <row r="20" spans="4:15" x14ac:dyDescent="0.2">
      <c r="D20" s="18"/>
      <c r="J20" s="18"/>
      <c r="K20" s="18"/>
      <c r="L20" s="18"/>
      <c r="M20" s="18"/>
      <c r="N20" s="15"/>
      <c r="O20" s="15"/>
    </row>
    <row r="21" spans="4:15" x14ac:dyDescent="0.2">
      <c r="J21" s="18"/>
      <c r="N21" s="15"/>
      <c r="O21" s="15"/>
    </row>
  </sheetData>
  <mergeCells count="1">
    <mergeCell ref="D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logitr_MNL (Preference)</vt:lpstr>
      <vt:lpstr>Apollo_MNL (Preference)</vt:lpstr>
      <vt:lpstr>MNL (WTP space)</vt:lpstr>
      <vt:lpstr>MNL WTP compare</vt:lpstr>
      <vt:lpstr>MXL (WTP space)_lessSD</vt:lpstr>
      <vt:lpstr>MXL (WTP space)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Iogansen, Xiatian (Assoc)</dc:creator>
  <cp:lastModifiedBy>Iogansen, Xiatian (Assoc)</cp:lastModifiedBy>
  <dcterms:created xsi:type="dcterms:W3CDTF">2025-10-30T03:04:52Z</dcterms:created>
  <dcterms:modified xsi:type="dcterms:W3CDTF">2025-11-07T20:28:35Z</dcterms:modified>
</cp:coreProperties>
</file>