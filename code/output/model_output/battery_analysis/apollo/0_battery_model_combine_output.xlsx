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nw17/Documents/GitHub/Conjoint_Survey_25/code/output/model_output/apollo/battery/"/>
    </mc:Choice>
  </mc:AlternateContent>
  <xr:revisionPtr revIDLastSave="0" documentId="13_ncr:1_{16A45A9A-C437-E244-A71B-1C9489C29CCC}" xr6:coauthVersionLast="47" xr6:coauthVersionMax="47" xr10:uidLastSave="{00000000-0000-0000-0000-000000000000}"/>
  <bookViews>
    <workbookView xWindow="680" yWindow="660" windowWidth="28880" windowHeight="17440" activeTab="1" xr2:uid="{00000000-000D-0000-FFFF-FFFF00000000}"/>
  </bookViews>
  <sheets>
    <sheet name="coef_fit" sheetId="1" r:id="rId1"/>
    <sheet name="WTP" sheetId="2" r:id="rId2"/>
    <sheet name="Factor_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  <c r="G24" i="2"/>
  <c r="H24" i="2"/>
  <c r="I24" i="2"/>
  <c r="J24" i="2"/>
  <c r="K24" i="2"/>
  <c r="F25" i="2"/>
  <c r="G25" i="2"/>
  <c r="H25" i="2"/>
  <c r="I25" i="2"/>
  <c r="J25" i="2"/>
  <c r="K25" i="2"/>
  <c r="F26" i="2"/>
  <c r="G26" i="2"/>
  <c r="H26" i="2"/>
  <c r="I26" i="2"/>
  <c r="J26" i="2"/>
  <c r="K26" i="2"/>
  <c r="F27" i="2"/>
  <c r="G27" i="2"/>
  <c r="H27" i="2"/>
  <c r="I27" i="2"/>
  <c r="J27" i="2"/>
  <c r="K27" i="2"/>
  <c r="F19" i="2"/>
  <c r="G19" i="2"/>
  <c r="H19" i="2"/>
  <c r="I19" i="2"/>
  <c r="J19" i="2"/>
  <c r="K19" i="2"/>
  <c r="F20" i="2"/>
  <c r="G20" i="2"/>
  <c r="H20" i="2"/>
  <c r="I20" i="2"/>
  <c r="J20" i="2"/>
  <c r="K20" i="2"/>
  <c r="F21" i="2"/>
  <c r="G21" i="2"/>
  <c r="H21" i="2"/>
  <c r="I21" i="2"/>
  <c r="J21" i="2"/>
  <c r="K21" i="2"/>
  <c r="F22" i="2"/>
  <c r="G22" i="2"/>
  <c r="H22" i="2"/>
  <c r="I22" i="2"/>
  <c r="J22" i="2"/>
  <c r="K22" i="2"/>
  <c r="F23" i="2"/>
  <c r="G23" i="2"/>
  <c r="H23" i="2"/>
  <c r="I23" i="2"/>
  <c r="J23" i="2"/>
  <c r="K23" i="2"/>
  <c r="G18" i="2"/>
  <c r="H18" i="2"/>
  <c r="I18" i="2"/>
  <c r="J18" i="2"/>
  <c r="K18" i="2"/>
  <c r="F18" i="2"/>
  <c r="D8" i="2"/>
  <c r="D9" i="2"/>
  <c r="D7" i="2"/>
  <c r="D13" i="2"/>
  <c r="D14" i="2"/>
  <c r="D12" i="2"/>
</calcChain>
</file>

<file path=xl/sharedStrings.xml><?xml version="1.0" encoding="utf-8"?>
<sst xmlns="http://schemas.openxmlformats.org/spreadsheetml/2006/main" count="265" uniqueCount="104">
  <si>
    <t>b_no_choice_a</t>
  </si>
  <si>
    <t>b_mileage_a</t>
  </si>
  <si>
    <t>b_price_a</t>
  </si>
  <si>
    <t>b_no_choice_b</t>
  </si>
  <si>
    <t>b_mileage_b</t>
  </si>
  <si>
    <t>b_price_b</t>
  </si>
  <si>
    <t>delta_a</t>
  </si>
  <si>
    <t>gamma_EV_benefit_a</t>
  </si>
  <si>
    <t>gamma_EV_anxiety_a</t>
  </si>
  <si>
    <t>delta_b</t>
  </si>
  <si>
    <t>gamma_EV_benefit_b</t>
  </si>
  <si>
    <t>gamma_EV_anxiety_b</t>
  </si>
  <si>
    <t>b_no_choice_c</t>
  </si>
  <si>
    <t>b_mileage_c</t>
  </si>
  <si>
    <t>b_price_c</t>
  </si>
  <si>
    <t>delta_c</t>
  </si>
  <si>
    <t>gamma_EV_benefit_c</t>
  </si>
  <si>
    <t>gamma_EV_anxiety_c</t>
  </si>
  <si>
    <t>Not statistically significant at 90% confidence level</t>
  </si>
  <si>
    <t>Attributes (WTP unit: $10,000)</t>
  </si>
  <si>
    <t>Active Indicators (included in the model)</t>
  </si>
  <si>
    <t>Class Name</t>
  </si>
  <si>
    <t>Model</t>
  </si>
  <si>
    <t>class_allocation</t>
  </si>
  <si>
    <t>share</t>
  </si>
  <si>
    <t>n</t>
  </si>
  <si>
    <t>no choice</t>
  </si>
  <si>
    <t>mileage</t>
  </si>
  <si>
    <t>FA_EV_benefit</t>
  </si>
  <si>
    <t>FA_EV_anxiety</t>
  </si>
  <si>
    <t>next_veh_fuel_used_bev</t>
  </si>
  <si>
    <t>10,000 miles on the odometer</t>
  </si>
  <si>
    <t>100 miles of battery range</t>
  </si>
  <si>
    <t>factor score</t>
  </si>
  <si>
    <t>base model (one class)</t>
  </si>
  <si>
    <t>NA</t>
  </si>
  <si>
    <t>Class_1</t>
  </si>
  <si>
    <t>Class_2</t>
  </si>
  <si>
    <t>Class_3</t>
  </si>
  <si>
    <t>People who are important to me think that I should buy an EV.</t>
  </si>
  <si>
    <t>Driving an EV would eventually result in cost savings.</t>
  </si>
  <si>
    <t>Driving an EV would be beneficial to the environment in the long term.</t>
  </si>
  <si>
    <t>If I owned a BEV, I would often worry about running out of charge.</t>
  </si>
  <si>
    <t>BEVs are less valuable than gasoline cars on the resale market, because the technology is always advancing.</t>
  </si>
  <si>
    <t>The price of an EV is too high.</t>
  </si>
  <si>
    <t>gamma_hhincome_a</t>
  </si>
  <si>
    <t>gamma_hhincome_b</t>
  </si>
  <si>
    <t>gamma_hhincome_c</t>
  </si>
  <si>
    <t>HH_income</t>
  </si>
  <si>
    <t>ATT_EVB_environment</t>
  </si>
  <si>
    <t>ATT_EVB_function</t>
  </si>
  <si>
    <t>next_veh_budget</t>
  </si>
  <si>
    <t>knowledge_ev_share_yes</t>
  </si>
  <si>
    <t>knowledge_subsidy_share_yes</t>
  </si>
  <si>
    <t>EV_charger_share_yes</t>
  </si>
  <si>
    <t>EV_neighbor_share_yes</t>
  </si>
  <si>
    <t>Estimate</t>
  </si>
  <si>
    <t>Std.err.</t>
  </si>
  <si>
    <t>t-ratio(0)</t>
  </si>
  <si>
    <t>p(2-sided)</t>
  </si>
  <si>
    <t>Rob.std.err.</t>
  </si>
  <si>
    <t>Rob.t-ratio(0)</t>
  </si>
  <si>
    <t>Rob.p-val(0)</t>
  </si>
  <si>
    <t>gamma_ev_charge_a</t>
  </si>
  <si>
    <t>gamma_ev_neighbor_a</t>
  </si>
  <si>
    <t>gamma_knowledge_ev_a</t>
  </si>
  <si>
    <t>gamma_knowledge_subsidy_a</t>
  </si>
  <si>
    <t>gamma_ev_charge_b</t>
  </si>
  <si>
    <t>gamma_ev_neighbor_b</t>
  </si>
  <si>
    <t>gamma_knowledge_ev_b</t>
  </si>
  <si>
    <t>gamma_knowledge_subsidy_b</t>
  </si>
  <si>
    <t>gamma_ev_charge_c</t>
  </si>
  <si>
    <t>gamma_ev_neighbor_c</t>
  </si>
  <si>
    <t>gamma_knowledge_ev_c</t>
  </si>
  <si>
    <t>gamma_knowledge_subsidy_c</t>
  </si>
  <si>
    <t>CAR</t>
  </si>
  <si>
    <t>SUV</t>
  </si>
  <si>
    <t>3-class</t>
  </si>
  <si>
    <t>BEV averse</t>
  </si>
  <si>
    <t>b_range_year0_a</t>
  </si>
  <si>
    <t>b_degradation_a</t>
  </si>
  <si>
    <t>b_packreplace_a</t>
  </si>
  <si>
    <t>b_cellreplace_a</t>
  </si>
  <si>
    <t>b_range_year0_b</t>
  </si>
  <si>
    <t>b_degradation_b</t>
  </si>
  <si>
    <t>b_packreplace_b</t>
  </si>
  <si>
    <t>b_cellreplace_b</t>
  </si>
  <si>
    <t>b_range_year0_c</t>
  </si>
  <si>
    <t>b_degradation_c</t>
  </si>
  <si>
    <t>b_packreplace_c</t>
  </si>
  <si>
    <t>b_cellreplace_c</t>
  </si>
  <si>
    <t>range_year0</t>
  </si>
  <si>
    <t>degradation</t>
  </si>
  <si>
    <t>packreplace</t>
  </si>
  <si>
    <t>cellreplace</t>
  </si>
  <si>
    <t>1% increase in annual battery degradation</t>
  </si>
  <si>
    <t>refurbished pack replacement (vs new battery)</t>
  </si>
  <si>
    <t>refurbished cell replacement (vs new battery)</t>
  </si>
  <si>
    <r>
      <rPr>
        <b/>
        <sz val="12"/>
        <color theme="1"/>
        <rFont val="Aptos Narrow"/>
        <scheme val="minor"/>
      </rPr>
      <t>BEV averse:</t>
    </r>
    <r>
      <rPr>
        <sz val="12"/>
        <color theme="1"/>
        <rFont val="Aptos Narrow"/>
        <scheme val="minor"/>
      </rPr>
      <t xml:space="preserve"> most negative attitudes, high anxiety, lowest EV infrastructure</t>
    </r>
  </si>
  <si>
    <r>
      <rPr>
        <b/>
        <sz val="12"/>
        <color theme="1"/>
        <rFont val="Aptos Narrow"/>
        <scheme val="minor"/>
      </rPr>
      <t>BEV-ready Consumers:</t>
    </r>
    <r>
      <rPr>
        <sz val="12"/>
        <color theme="1"/>
        <rFont val="Aptos Narrow"/>
        <scheme val="minor"/>
      </rPr>
      <t xml:space="preserve"> most postive attitudes, least anxiety, high EV exposure</t>
    </r>
  </si>
  <si>
    <r>
      <rPr>
        <b/>
        <sz val="12"/>
        <color theme="1"/>
        <rFont val="Aptos Narrow"/>
        <scheme val="minor"/>
      </rPr>
      <t>BEV Skeptics (range focus):</t>
    </r>
    <r>
      <rPr>
        <sz val="12"/>
        <color theme="1"/>
        <rFont val="Aptos Narrow"/>
        <scheme val="minor"/>
      </rPr>
      <t xml:space="preserve">  highest range  anxiety</t>
    </r>
  </si>
  <si>
    <r>
      <rPr>
        <b/>
        <sz val="12"/>
        <color theme="1"/>
        <rFont val="Aptos Narrow"/>
        <scheme val="minor"/>
      </rPr>
      <t>BEV-ready Consumers:</t>
    </r>
    <r>
      <rPr>
        <sz val="12"/>
        <color theme="1"/>
        <rFont val="Aptos Narrow"/>
        <scheme val="minor"/>
      </rPr>
      <t xml:space="preserve"> postive attitudes, least anxiety, high EV exposure</t>
    </r>
  </si>
  <si>
    <t>BEV-ready</t>
  </si>
  <si>
    <t>no range anxiety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</si>
</sst>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00"/>
  </numFmts>
  <fonts count="15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  <font>
      <sz val="12"/>
      <color rgb="FF1F1F1F"/>
      <name val="Calibri"/>
      <family val="2"/>
    </font>
    <font>
      <sz val="18"/>
      <color indexed="8"/>
      <name val="Aptos Narrow"/>
      <family val="2"/>
      <scheme val="minor"/>
    </font>
    <font>
      <b/>
      <sz val="12"/>
      <color theme="0" tint="-0.14999847407452621"/>
      <name val="Aptos Narrow"/>
      <scheme val="minor"/>
    </font>
    <font>
      <b/>
      <sz val="12"/>
      <color indexed="8"/>
      <name val="Aptos Narrow"/>
      <scheme val="minor"/>
    </font>
    <font>
      <i/>
      <sz val="12"/>
      <color theme="1"/>
      <name val="Aptos Narrow"/>
      <scheme val="minor"/>
    </font>
    <font>
      <i/>
      <sz val="12"/>
      <color theme="0" tint="-0.14999847407452621"/>
      <name val="Aptos Narrow"/>
      <scheme val="minor"/>
    </font>
    <font>
      <sz val="12"/>
      <color indexed="8"/>
      <name val="Aptos Narrow"/>
      <scheme val="minor"/>
    </font>
    <font>
      <sz val="12"/>
      <color theme="0" tint="-0.14999847407452621"/>
      <name val="Aptos Narrow"/>
      <scheme val="minor"/>
    </font>
    <font>
      <b/>
      <sz val="12"/>
      <color rgb="FFFFFFFF"/>
      <name val="Aptos Narrow"/>
      <scheme val="minor"/>
    </font>
    <font>
      <sz val="12"/>
      <color rgb="FFFFFFFF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9" fontId="2" fillId="0" borderId="0" xfId="1" applyFont="1" applyAlignment="1">
      <alignment wrapText="1"/>
    </xf>
    <xf numFmtId="1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wrapText="1"/>
    </xf>
    <xf numFmtId="2" fontId="3" fillId="0" borderId="0" xfId="0" applyNumberFormat="1" applyFont="1" applyAlignment="1">
      <alignment wrapText="1"/>
    </xf>
    <xf numFmtId="9" fontId="3" fillId="0" borderId="0" xfId="1" applyFont="1" applyAlignment="1">
      <alignment wrapText="1"/>
    </xf>
    <xf numFmtId="1" fontId="3" fillId="0" borderId="0" xfId="0" applyNumberFormat="1" applyFont="1" applyAlignment="1">
      <alignment wrapText="1"/>
    </xf>
    <xf numFmtId="2" fontId="4" fillId="0" borderId="0" xfId="0" applyNumberFormat="1" applyFont="1"/>
    <xf numFmtId="0" fontId="5" fillId="0" borderId="0" xfId="0" applyFont="1"/>
    <xf numFmtId="2" fontId="0" fillId="0" borderId="0" xfId="0" applyNumberFormat="1"/>
    <xf numFmtId="164" fontId="0" fillId="0" borderId="0" xfId="0" applyNumberFormat="1"/>
    <xf numFmtId="2" fontId="2" fillId="0" borderId="0" xfId="0" applyNumberFormat="1" applyFont="1" applyAlignment="1">
      <alignment horizontal="center" wrapText="1"/>
    </xf>
    <xf numFmtId="0" fontId="6" fillId="2" borderId="0" xfId="0" applyFont="1" applyFill="1"/>
    <xf numFmtId="0" fontId="3" fillId="3" borderId="0" xfId="0" applyFont="1" applyFill="1" applyAlignment="1">
      <alignment wrapText="1"/>
    </xf>
    <xf numFmtId="0" fontId="3" fillId="0" borderId="0" xfId="0" applyFont="1"/>
    <xf numFmtId="0" fontId="2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0" fontId="8" fillId="0" borderId="0" xfId="0" applyFont="1"/>
    <xf numFmtId="0" fontId="7" fillId="0" borderId="0" xfId="0" applyFont="1" applyAlignment="1">
      <alignment wrapText="1"/>
    </xf>
    <xf numFmtId="0" fontId="9" fillId="0" borderId="0" xfId="0" applyFont="1" applyAlignment="1">
      <alignment wrapText="1"/>
    </xf>
    <xf numFmtId="2" fontId="9" fillId="0" borderId="0" xfId="0" applyNumberFormat="1" applyFont="1" applyAlignment="1">
      <alignment wrapText="1"/>
    </xf>
    <xf numFmtId="9" fontId="9" fillId="0" borderId="0" xfId="1" applyFont="1" applyAlignment="1">
      <alignment wrapText="1"/>
    </xf>
    <xf numFmtId="1" fontId="9" fillId="0" borderId="0" xfId="0" applyNumberFormat="1" applyFont="1" applyAlignment="1">
      <alignment wrapText="1"/>
    </xf>
    <xf numFmtId="6" fontId="9" fillId="0" borderId="0" xfId="0" applyNumberFormat="1" applyFont="1" applyAlignment="1">
      <alignment wrapText="1"/>
    </xf>
    <xf numFmtId="0" fontId="10" fillId="0" borderId="0" xfId="0" applyFont="1" applyAlignment="1">
      <alignment wrapText="1"/>
    </xf>
    <xf numFmtId="0" fontId="3" fillId="0" borderId="0" xfId="0" applyFont="1" applyAlignment="1">
      <alignment wrapText="1"/>
    </xf>
    <xf numFmtId="2" fontId="11" fillId="0" borderId="0" xfId="0" applyNumberFormat="1" applyFont="1"/>
    <xf numFmtId="0" fontId="12" fillId="0" borderId="0" xfId="0" applyFont="1" applyAlignment="1">
      <alignment wrapText="1"/>
    </xf>
    <xf numFmtId="0" fontId="11" fillId="4" borderId="0" xfId="0" applyFont="1" applyFill="1"/>
    <xf numFmtId="0" fontId="11" fillId="0" borderId="0" xfId="0" applyFont="1"/>
    <xf numFmtId="9" fontId="11" fillId="0" borderId="0" xfId="1" applyFont="1"/>
    <xf numFmtId="1" fontId="11" fillId="0" borderId="0" xfId="0" applyNumberFormat="1" applyFont="1"/>
    <xf numFmtId="0" fontId="11" fillId="0" borderId="0" xfId="0" applyFont="1" applyAlignment="1">
      <alignment wrapText="1"/>
    </xf>
    <xf numFmtId="9" fontId="11" fillId="0" borderId="0" xfId="1" applyFont="1" applyAlignment="1">
      <alignment wrapText="1"/>
    </xf>
    <xf numFmtId="2" fontId="11" fillId="0" borderId="0" xfId="0" applyNumberFormat="1" applyFont="1" applyAlignment="1">
      <alignment wrapText="1"/>
    </xf>
    <xf numFmtId="0" fontId="12" fillId="0" borderId="0" xfId="0" applyFont="1"/>
    <xf numFmtId="2" fontId="12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2" fontId="2" fillId="0" borderId="0" xfId="0" applyNumberFormat="1" applyFont="1"/>
    <xf numFmtId="2" fontId="3" fillId="0" borderId="0" xfId="0" applyNumberFormat="1" applyFont="1"/>
    <xf numFmtId="9" fontId="3" fillId="0" borderId="0" xfId="1" applyFont="1"/>
    <xf numFmtId="0" fontId="13" fillId="0" borderId="0" xfId="0" applyFont="1"/>
    <xf numFmtId="9" fontId="13" fillId="0" borderId="0" xfId="1" applyFont="1" applyAlignment="1">
      <alignment wrapText="1"/>
    </xf>
    <xf numFmtId="2" fontId="13" fillId="0" borderId="0" xfId="0" applyNumberFormat="1" applyFont="1" applyAlignment="1">
      <alignment wrapText="1"/>
    </xf>
    <xf numFmtId="2" fontId="14" fillId="0" borderId="0" xfId="0" applyNumberFormat="1" applyFont="1"/>
    <xf numFmtId="0" fontId="14" fillId="0" borderId="0" xfId="0" applyFont="1"/>
    <xf numFmtId="0" fontId="2" fillId="0" borderId="0" xfId="0" applyFont="1"/>
    <xf numFmtId="9" fontId="2" fillId="0" borderId="0" xfId="1" applyFont="1"/>
    <xf numFmtId="2" fontId="11" fillId="5" borderId="0" xfId="0" applyNumberFormat="1" applyFont="1" applyFill="1"/>
    <xf numFmtId="2" fontId="3" fillId="5" borderId="0" xfId="0" applyNumberFormat="1" applyFont="1" applyFill="1"/>
    <xf numFmtId="0" fontId="3" fillId="0" borderId="0" xfId="0" applyFont="1" applyAlignment="1">
      <alignment horizontal="center" wrapText="1"/>
    </xf>
    <xf numFmtId="2" fontId="11" fillId="0" borderId="0" xfId="0" applyNumberFormat="1" applyFont="1" applyAlignment="1">
      <alignment horizontal="center"/>
    </xf>
    <xf numFmtId="2" fontId="2" fillId="2" borderId="0" xfId="0" applyNumberFormat="1" applyFont="1" applyFill="1" applyAlignment="1">
      <alignment horizontal="center" wrapText="1"/>
    </xf>
    <xf numFmtId="2" fontId="3" fillId="0" borderId="0" xfId="0" applyNumberFormat="1" applyFont="1" applyAlignment="1">
      <alignment horizontal="center" wrapText="1"/>
    </xf>
  </cellXfs>
  <cellStyles count="2"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0</xdr:col>
      <xdr:colOff>4000500</xdr:colOff>
      <xdr:row>25</xdr:row>
      <xdr:rowOff>4233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99E9AE-110E-3548-BB93-6A7A0858A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3000"/>
          <a:ext cx="4000500" cy="26712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"/>
  <sheetViews>
    <sheetView workbookViewId="0">
      <selection activeCell="A21" sqref="A21:XFD22"/>
    </sheetView>
  </sheetViews>
  <sheetFormatPr baseColWidth="10" defaultColWidth="8.83203125" defaultRowHeight="15"/>
  <cols>
    <col min="1" max="1" width="24.83203125" customWidth="1"/>
    <col min="2" max="8" width="8.83203125" style="9"/>
    <col min="11" max="11" width="21.1640625" customWidth="1"/>
    <col min="18" max="20" width="8.83203125" style="10"/>
  </cols>
  <sheetData>
    <row r="1" spans="1:18" ht="24">
      <c r="A1" s="12" t="s">
        <v>75</v>
      </c>
      <c r="K1" s="12" t="s">
        <v>76</v>
      </c>
    </row>
    <row r="2" spans="1:18">
      <c r="B2" s="9" t="s">
        <v>56</v>
      </c>
      <c r="C2" s="9" t="s">
        <v>57</v>
      </c>
      <c r="D2" s="9" t="s">
        <v>58</v>
      </c>
      <c r="E2" s="9" t="s">
        <v>59</v>
      </c>
      <c r="F2" s="9" t="s">
        <v>60</v>
      </c>
      <c r="G2" s="9" t="s">
        <v>61</v>
      </c>
      <c r="H2" s="9" t="s">
        <v>62</v>
      </c>
      <c r="K2" s="9"/>
      <c r="L2" s="9" t="s">
        <v>56</v>
      </c>
      <c r="M2" s="9" t="s">
        <v>57</v>
      </c>
      <c r="N2" s="9" t="s">
        <v>58</v>
      </c>
      <c r="O2" s="9" t="s">
        <v>59</v>
      </c>
      <c r="P2" s="9" t="s">
        <v>60</v>
      </c>
      <c r="Q2" s="9" t="s">
        <v>61</v>
      </c>
      <c r="R2" s="9" t="s">
        <v>62</v>
      </c>
    </row>
    <row r="3" spans="1:18">
      <c r="A3" t="s">
        <v>0</v>
      </c>
      <c r="B3" s="9">
        <v>-2.8210697933260902</v>
      </c>
      <c r="C3" s="9">
        <v>0.61131332265067395</v>
      </c>
      <c r="D3" s="9">
        <v>-4.6147690370853498</v>
      </c>
      <c r="E3" s="9">
        <v>3.93532700404542E-6</v>
      </c>
      <c r="F3" s="9">
        <v>1.24687719344449</v>
      </c>
      <c r="G3" s="9">
        <v>-2.2625081348492002</v>
      </c>
      <c r="H3" s="9">
        <v>2.3666026809194201E-2</v>
      </c>
      <c r="K3" s="9" t="s">
        <v>0</v>
      </c>
      <c r="L3" s="9">
        <v>-6.2176806869984196</v>
      </c>
      <c r="M3" s="9">
        <v>0.64877161879794598</v>
      </c>
      <c r="N3" s="9">
        <v>-9.5837741769879408</v>
      </c>
      <c r="O3" s="9">
        <v>0</v>
      </c>
      <c r="P3" s="9">
        <v>0.936223617150168</v>
      </c>
      <c r="Q3" s="9">
        <v>-6.6412346079506301</v>
      </c>
      <c r="R3" s="9">
        <v>3.1106672793157499E-11</v>
      </c>
    </row>
    <row r="4" spans="1:18">
      <c r="A4" t="s">
        <v>1</v>
      </c>
      <c r="B4" s="9">
        <v>-0.20215955567421801</v>
      </c>
      <c r="C4" s="9">
        <v>6.9767419046662102E-2</v>
      </c>
      <c r="D4" s="9">
        <v>-2.8976212455130299</v>
      </c>
      <c r="E4" s="9">
        <v>3.7600437038289901E-3</v>
      </c>
      <c r="F4" s="9">
        <v>0.105538869629435</v>
      </c>
      <c r="G4" s="9">
        <v>-1.91549858724122</v>
      </c>
      <c r="H4" s="9">
        <v>5.5428949140952297E-2</v>
      </c>
      <c r="K4" s="9" t="s">
        <v>1</v>
      </c>
      <c r="L4" s="9">
        <v>-0.30429378768286902</v>
      </c>
      <c r="M4" s="9">
        <v>5.7412474259045297E-2</v>
      </c>
      <c r="N4" s="9">
        <v>-5.3001336662463698</v>
      </c>
      <c r="O4" s="9">
        <v>1.15717930349035E-7</v>
      </c>
      <c r="P4" s="9">
        <v>7.4477616422921403E-2</v>
      </c>
      <c r="Q4" s="9">
        <v>-4.0857079253844004</v>
      </c>
      <c r="R4" s="9">
        <v>4.3942628225712703E-5</v>
      </c>
    </row>
    <row r="5" spans="1:18">
      <c r="A5" t="s">
        <v>79</v>
      </c>
      <c r="B5" s="9">
        <v>2.46696174459563</v>
      </c>
      <c r="C5" s="9">
        <v>0.34872491667656502</v>
      </c>
      <c r="D5" s="9">
        <v>7.0742342362753599</v>
      </c>
      <c r="E5" s="9">
        <v>1.5027978861326101E-12</v>
      </c>
      <c r="F5" s="9">
        <v>0.58933372004652895</v>
      </c>
      <c r="G5" s="9">
        <v>4.1860183130211102</v>
      </c>
      <c r="H5" s="9">
        <v>2.8389045406473902E-5</v>
      </c>
      <c r="K5" s="9" t="s">
        <v>79</v>
      </c>
      <c r="L5" s="9">
        <v>1.1188777569047299</v>
      </c>
      <c r="M5" s="9">
        <v>0.141698485107568</v>
      </c>
      <c r="N5" s="9">
        <v>7.8961871473456204</v>
      </c>
      <c r="O5" s="9">
        <v>2.8865798640254102E-15</v>
      </c>
      <c r="P5" s="9">
        <v>0.18570549823396901</v>
      </c>
      <c r="Q5" s="9">
        <v>6.0250114700161399</v>
      </c>
      <c r="R5" s="9">
        <v>1.6909762479144799E-9</v>
      </c>
    </row>
    <row r="6" spans="1:18">
      <c r="A6" t="s">
        <v>80</v>
      </c>
      <c r="B6" s="9">
        <v>-0.43317054495576601</v>
      </c>
      <c r="C6" s="9">
        <v>5.9234737518971597E-2</v>
      </c>
      <c r="D6" s="9">
        <v>-7.3127790060187401</v>
      </c>
      <c r="E6" s="9">
        <v>2.6156854460168698E-13</v>
      </c>
      <c r="F6" s="9">
        <v>0.12384670703493</v>
      </c>
      <c r="G6" s="9">
        <v>-3.4976347399660099</v>
      </c>
      <c r="H6" s="9">
        <v>4.69403532094681E-4</v>
      </c>
      <c r="K6" s="9" t="s">
        <v>80</v>
      </c>
      <c r="L6" s="9">
        <v>-0.79628190427426604</v>
      </c>
      <c r="M6" s="9">
        <v>8.3018261556610795E-2</v>
      </c>
      <c r="N6" s="9">
        <v>-9.5916475404784904</v>
      </c>
      <c r="O6" s="9">
        <v>0</v>
      </c>
      <c r="P6" s="9">
        <v>0.13970532141354999</v>
      </c>
      <c r="Q6" s="9">
        <v>-5.6997249368701297</v>
      </c>
      <c r="R6" s="9">
        <v>1.2000089144592601E-8</v>
      </c>
    </row>
    <row r="7" spans="1:18">
      <c r="A7" t="s">
        <v>81</v>
      </c>
      <c r="B7" s="9">
        <v>-0.63938483636285803</v>
      </c>
      <c r="C7" s="9">
        <v>0.214239648126933</v>
      </c>
      <c r="D7" s="9">
        <v>-2.9844374836913201</v>
      </c>
      <c r="E7" s="9">
        <v>2.84100249954466E-3</v>
      </c>
      <c r="F7" s="9">
        <v>0.34600351249689298</v>
      </c>
      <c r="G7" s="9">
        <v>-1.8479142935538799</v>
      </c>
      <c r="H7" s="9">
        <v>6.4614742430113795E-2</v>
      </c>
      <c r="K7" s="9" t="s">
        <v>81</v>
      </c>
      <c r="L7" s="9">
        <v>-0.432564948991362</v>
      </c>
      <c r="M7" s="9">
        <v>0.15711341356640299</v>
      </c>
      <c r="N7" s="9">
        <v>-2.7532019015584601</v>
      </c>
      <c r="O7" s="9">
        <v>5.9015488133755704E-3</v>
      </c>
      <c r="P7" s="9">
        <v>0.17401838198454</v>
      </c>
      <c r="Q7" s="9">
        <v>-2.4857428511764499</v>
      </c>
      <c r="R7" s="9">
        <v>1.29281344965568E-2</v>
      </c>
    </row>
    <row r="8" spans="1:18">
      <c r="A8" t="s">
        <v>82</v>
      </c>
      <c r="B8" s="9">
        <v>-0.65333647995488098</v>
      </c>
      <c r="C8" s="9">
        <v>0.24443237101784601</v>
      </c>
      <c r="D8" s="9">
        <v>-2.6728721618757301</v>
      </c>
      <c r="E8" s="9">
        <v>7.5204903661745303E-3</v>
      </c>
      <c r="F8" s="9">
        <v>0.44803062467706001</v>
      </c>
      <c r="G8" s="9">
        <v>-1.45824067367226</v>
      </c>
      <c r="H8" s="9">
        <v>0.14477421627484499</v>
      </c>
      <c r="K8" s="9" t="s">
        <v>82</v>
      </c>
      <c r="L8" s="9">
        <v>-0.35336847210956501</v>
      </c>
      <c r="M8" s="9">
        <v>0.15387385612799301</v>
      </c>
      <c r="N8" s="9">
        <v>-2.2964815531472098</v>
      </c>
      <c r="O8" s="9">
        <v>2.16483627126389E-2</v>
      </c>
      <c r="P8" s="9">
        <v>0.17364955945555099</v>
      </c>
      <c r="Q8" s="9">
        <v>-2.0349517339260301</v>
      </c>
      <c r="R8" s="9">
        <v>4.1855729753159397E-2</v>
      </c>
    </row>
    <row r="9" spans="1:18">
      <c r="A9" t="s">
        <v>2</v>
      </c>
      <c r="B9" s="9">
        <v>-1.3240283555197701</v>
      </c>
      <c r="C9" s="9">
        <v>0.26651188468714798</v>
      </c>
      <c r="D9" s="9">
        <v>-4.9679899156242602</v>
      </c>
      <c r="E9" s="9">
        <v>6.76504798624578E-7</v>
      </c>
      <c r="F9" s="9">
        <v>0.58476139683927897</v>
      </c>
      <c r="G9" s="9">
        <v>-2.2642198385124899</v>
      </c>
      <c r="H9" s="9">
        <v>2.3560597009002301E-2</v>
      </c>
      <c r="K9" s="9" t="s">
        <v>2</v>
      </c>
      <c r="L9" s="9">
        <v>-1.2553499819254801</v>
      </c>
      <c r="M9" s="9">
        <v>0.14524960466586001</v>
      </c>
      <c r="N9" s="9">
        <v>-8.64270842466909</v>
      </c>
      <c r="O9" s="9">
        <v>0</v>
      </c>
      <c r="P9" s="9">
        <v>0.214881135968747</v>
      </c>
      <c r="Q9" s="9">
        <v>-5.8420669467610598</v>
      </c>
      <c r="R9" s="9">
        <v>5.1557078606379003E-9</v>
      </c>
    </row>
    <row r="10" spans="1:18">
      <c r="A10" t="s">
        <v>3</v>
      </c>
      <c r="B10" s="9">
        <v>1.00287086098402</v>
      </c>
      <c r="C10" s="9">
        <v>0.71104912265180498</v>
      </c>
      <c r="D10" s="9">
        <v>1.41041009549929</v>
      </c>
      <c r="E10" s="9">
        <v>0.15841862614108401</v>
      </c>
      <c r="F10" s="9">
        <v>0.81989778658916901</v>
      </c>
      <c r="G10" s="9">
        <v>1.22316571332145</v>
      </c>
      <c r="H10" s="9">
        <v>0.22126711276657501</v>
      </c>
      <c r="K10" s="9" t="s">
        <v>3</v>
      </c>
      <c r="L10" s="9">
        <v>-0.95472960299439302</v>
      </c>
      <c r="M10" s="9">
        <v>0.57388768468445694</v>
      </c>
      <c r="N10" s="9">
        <v>-1.6636175134500999</v>
      </c>
      <c r="O10" s="9">
        <v>9.61888897458303E-2</v>
      </c>
      <c r="P10" s="9">
        <v>0.63722679321098896</v>
      </c>
      <c r="Q10" s="9">
        <v>-1.4982571561115701</v>
      </c>
      <c r="R10" s="9">
        <v>0.134066450838875</v>
      </c>
    </row>
    <row r="11" spans="1:18">
      <c r="A11" t="s">
        <v>4</v>
      </c>
      <c r="B11" s="9">
        <v>-0.21987753725488601</v>
      </c>
      <c r="C11" s="9">
        <v>0.13399442660687</v>
      </c>
      <c r="D11" s="9">
        <v>-1.6409453946916099</v>
      </c>
      <c r="E11" s="9">
        <v>0.100808750747991</v>
      </c>
      <c r="F11" s="9">
        <v>0.18373975334711001</v>
      </c>
      <c r="G11" s="9">
        <v>-1.1966791793799101</v>
      </c>
      <c r="H11" s="9">
        <v>0.231431625339304</v>
      </c>
      <c r="K11" s="9" t="s">
        <v>4</v>
      </c>
      <c r="L11" s="9">
        <v>-0.35255224874581897</v>
      </c>
      <c r="M11" s="9">
        <v>8.1320273602398505E-2</v>
      </c>
      <c r="N11" s="9">
        <v>-4.33535492599992</v>
      </c>
      <c r="O11" s="9">
        <v>1.4552512447307801E-5</v>
      </c>
      <c r="P11" s="9">
        <v>9.2240193877871801E-2</v>
      </c>
      <c r="Q11" s="9">
        <v>-3.82211088164674</v>
      </c>
      <c r="R11" s="9">
        <v>1.3231416616399399E-4</v>
      </c>
    </row>
    <row r="12" spans="1:18">
      <c r="A12" t="s">
        <v>83</v>
      </c>
      <c r="B12" s="9">
        <v>1.08413184596552</v>
      </c>
      <c r="C12" s="9">
        <v>0.33045232068379499</v>
      </c>
      <c r="D12" s="9">
        <v>3.2807511949746799</v>
      </c>
      <c r="E12" s="9">
        <v>1.03531028287462E-3</v>
      </c>
      <c r="F12" s="9">
        <v>0.54029200302200897</v>
      </c>
      <c r="G12" s="9">
        <v>2.0065665231053802</v>
      </c>
      <c r="H12" s="9">
        <v>4.4795838865117697E-2</v>
      </c>
      <c r="K12" s="9" t="s">
        <v>83</v>
      </c>
      <c r="L12" s="9">
        <v>0.52727189538020702</v>
      </c>
      <c r="M12" s="9">
        <v>0.18254754318425201</v>
      </c>
      <c r="N12" s="9">
        <v>2.88840860952048</v>
      </c>
      <c r="O12" s="9">
        <v>3.8719652696896901E-3</v>
      </c>
      <c r="P12" s="9">
        <v>0.209134530077727</v>
      </c>
      <c r="Q12" s="9">
        <v>2.5212091718390099</v>
      </c>
      <c r="R12" s="9">
        <v>1.1695230765864199E-2</v>
      </c>
    </row>
    <row r="13" spans="1:18">
      <c r="A13" t="s">
        <v>84</v>
      </c>
      <c r="B13" s="9">
        <v>-0.30464454073490099</v>
      </c>
      <c r="C13" s="9">
        <v>8.3064899067905498E-2</v>
      </c>
      <c r="D13" s="9">
        <v>-3.6675484368656699</v>
      </c>
      <c r="E13" s="9">
        <v>2.4488717107384899E-4</v>
      </c>
      <c r="F13" s="9">
        <v>0.115256507858976</v>
      </c>
      <c r="G13" s="9">
        <v>-2.64318732533224</v>
      </c>
      <c r="H13" s="9">
        <v>8.2129582754688606E-3</v>
      </c>
      <c r="K13" s="9" t="s">
        <v>84</v>
      </c>
      <c r="L13" s="9">
        <v>-0.31443330871351699</v>
      </c>
      <c r="M13" s="9">
        <v>5.69692346117898E-2</v>
      </c>
      <c r="N13" s="9">
        <v>-5.5193528727599404</v>
      </c>
      <c r="O13" s="9">
        <v>3.4025033235351998E-8</v>
      </c>
      <c r="P13" s="9">
        <v>7.9938694072805502E-2</v>
      </c>
      <c r="Q13" s="9">
        <v>-3.9334306415756801</v>
      </c>
      <c r="R13" s="9">
        <v>8.3742010527521101E-5</v>
      </c>
    </row>
    <row r="14" spans="1:18">
      <c r="A14" t="s">
        <v>85</v>
      </c>
      <c r="B14" s="9">
        <v>-0.41318425859059199</v>
      </c>
      <c r="C14" s="9">
        <v>0.35078314822017098</v>
      </c>
      <c r="D14" s="9">
        <v>-1.1778908442068501</v>
      </c>
      <c r="E14" s="9">
        <v>0.238840125641641</v>
      </c>
      <c r="F14" s="9">
        <v>0.42920132864204902</v>
      </c>
      <c r="G14" s="9">
        <v>-0.96268168576706503</v>
      </c>
      <c r="H14" s="9">
        <v>0.33570729025999102</v>
      </c>
      <c r="K14" s="9" t="s">
        <v>85</v>
      </c>
      <c r="L14" s="9">
        <v>-0.46091139821364002</v>
      </c>
      <c r="M14" s="9">
        <v>0.234011965984919</v>
      </c>
      <c r="N14" s="9">
        <v>-1.96960611084026</v>
      </c>
      <c r="O14" s="9">
        <v>4.8883530760837998E-2</v>
      </c>
      <c r="P14" s="9">
        <v>0.276820884575538</v>
      </c>
      <c r="Q14" s="9">
        <v>-1.6650167089826899</v>
      </c>
      <c r="R14" s="9">
        <v>9.5909422303821698E-2</v>
      </c>
    </row>
    <row r="15" spans="1:18">
      <c r="A15" t="s">
        <v>86</v>
      </c>
      <c r="B15" s="9">
        <v>-0.96223249472052197</v>
      </c>
      <c r="C15" s="9">
        <v>0.40782710518763499</v>
      </c>
      <c r="D15" s="9">
        <v>-2.35941280626214</v>
      </c>
      <c r="E15" s="9">
        <v>1.83038817658767E-2</v>
      </c>
      <c r="F15" s="9">
        <v>0.45580993995064201</v>
      </c>
      <c r="G15" s="9">
        <v>-2.1110388571708598</v>
      </c>
      <c r="H15" s="9">
        <v>3.4768972099490598E-2</v>
      </c>
      <c r="K15" s="9" t="s">
        <v>86</v>
      </c>
      <c r="L15" s="9">
        <v>-0.64997961429703099</v>
      </c>
      <c r="M15" s="9">
        <v>0.25857919520902301</v>
      </c>
      <c r="N15" s="9">
        <v>-2.5136578129250502</v>
      </c>
      <c r="O15" s="9">
        <v>1.19486305584258E-2</v>
      </c>
      <c r="P15" s="9">
        <v>0.34925000836134501</v>
      </c>
      <c r="Q15" s="9">
        <v>-1.8610725804895101</v>
      </c>
      <c r="R15" s="9">
        <v>6.2733927728398697E-2</v>
      </c>
    </row>
    <row r="16" spans="1:18">
      <c r="A16" t="s">
        <v>5</v>
      </c>
      <c r="B16" s="9">
        <v>-0.69847332667928297</v>
      </c>
      <c r="C16" s="9">
        <v>0.24629270480524901</v>
      </c>
      <c r="D16" s="9">
        <v>-2.83594809367816</v>
      </c>
      <c r="E16" s="9">
        <v>4.5689871065821598E-3</v>
      </c>
      <c r="F16" s="9">
        <v>0.31060629165348702</v>
      </c>
      <c r="G16" s="9">
        <v>-2.2487417204623199</v>
      </c>
      <c r="H16" s="9">
        <v>2.4528933172422999E-2</v>
      </c>
      <c r="K16" s="9" t="s">
        <v>5</v>
      </c>
      <c r="L16" s="9">
        <v>-0.76388473796346401</v>
      </c>
      <c r="M16" s="9">
        <v>0.17790332809610401</v>
      </c>
      <c r="N16" s="9">
        <v>-4.2938192676800897</v>
      </c>
      <c r="O16" s="9">
        <v>1.7562545804539201E-5</v>
      </c>
      <c r="P16" s="9">
        <v>0.26030588663037202</v>
      </c>
      <c r="Q16" s="9">
        <v>-2.93456574437044</v>
      </c>
      <c r="R16" s="9">
        <v>3.3401478499204299E-3</v>
      </c>
    </row>
    <row r="17" spans="1:18">
      <c r="A17" t="s">
        <v>12</v>
      </c>
      <c r="B17" s="9">
        <v>-3.4799781061724802</v>
      </c>
      <c r="C17" s="9">
        <v>0.38478498843789699</v>
      </c>
      <c r="D17" s="9">
        <v>-9.04395496378398</v>
      </c>
      <c r="E17" s="9">
        <v>0</v>
      </c>
      <c r="F17" s="9">
        <v>0.76290096107495498</v>
      </c>
      <c r="G17" s="9">
        <v>-4.5615070418433703</v>
      </c>
      <c r="H17" s="9">
        <v>5.0787772580829201E-6</v>
      </c>
      <c r="K17" s="9" t="s">
        <v>12</v>
      </c>
      <c r="L17" s="9">
        <v>-3.3960988347502101</v>
      </c>
      <c r="M17" s="9">
        <v>0.44513317269879998</v>
      </c>
      <c r="N17" s="9">
        <v>-7.6293995663364802</v>
      </c>
      <c r="O17" s="9">
        <v>2.35367281220533E-14</v>
      </c>
      <c r="P17" s="9">
        <v>0.54721931562934301</v>
      </c>
      <c r="Q17" s="9">
        <v>-6.2061019005596298</v>
      </c>
      <c r="R17" s="9">
        <v>5.4314974740066201E-10</v>
      </c>
    </row>
    <row r="18" spans="1:18">
      <c r="A18" t="s">
        <v>13</v>
      </c>
      <c r="B18" s="9">
        <v>-2.2920173245685301E-2</v>
      </c>
      <c r="C18" s="9">
        <v>3.5478720095575199E-2</v>
      </c>
      <c r="D18" s="9">
        <v>-0.64602593283921295</v>
      </c>
      <c r="E18" s="9">
        <v>0.51826256089580602</v>
      </c>
      <c r="F18" s="9">
        <v>4.8970441196355699E-2</v>
      </c>
      <c r="G18" s="9">
        <v>-0.46804097912417802</v>
      </c>
      <c r="H18" s="9">
        <v>0.63975528495068801</v>
      </c>
      <c r="K18" s="9" t="s">
        <v>13</v>
      </c>
      <c r="L18" s="9">
        <v>-7.3823675423805996E-2</v>
      </c>
      <c r="M18" s="9">
        <v>3.9145386267984798E-2</v>
      </c>
      <c r="N18" s="9">
        <v>-1.885884454388</v>
      </c>
      <c r="O18" s="9">
        <v>5.9310526822662801E-2</v>
      </c>
      <c r="P18" s="9">
        <v>4.6454443211258703E-2</v>
      </c>
      <c r="Q18" s="9">
        <v>-1.5891628511847999</v>
      </c>
      <c r="R18" s="9">
        <v>0.112023631045015</v>
      </c>
    </row>
    <row r="19" spans="1:18">
      <c r="A19" t="s">
        <v>87</v>
      </c>
      <c r="B19" s="9">
        <v>-9.7579092994632494E-2</v>
      </c>
      <c r="C19" s="9">
        <v>0.10930810679623899</v>
      </c>
      <c r="D19" s="9">
        <v>-0.89269767682034196</v>
      </c>
      <c r="E19" s="9">
        <v>0.37201909482197398</v>
      </c>
      <c r="F19" s="9">
        <v>0.15129177115693801</v>
      </c>
      <c r="G19" s="9">
        <v>-0.64497290400157803</v>
      </c>
      <c r="H19" s="9">
        <v>0.51894474513631905</v>
      </c>
      <c r="K19" s="9" t="s">
        <v>87</v>
      </c>
      <c r="L19" s="9">
        <v>0.15518044188733901</v>
      </c>
      <c r="M19" s="9">
        <v>9.9453930750206906E-2</v>
      </c>
      <c r="N19" s="9">
        <v>1.5603248732028301</v>
      </c>
      <c r="O19" s="9">
        <v>0.118683128364063</v>
      </c>
      <c r="P19" s="9">
        <v>0.13782249129438601</v>
      </c>
      <c r="Q19" s="9">
        <v>1.1259442521313601</v>
      </c>
      <c r="R19" s="9">
        <v>0.26018911683482798</v>
      </c>
    </row>
    <row r="20" spans="1:18">
      <c r="A20" t="s">
        <v>88</v>
      </c>
      <c r="B20" s="9">
        <v>-0.13328415548824801</v>
      </c>
      <c r="C20" s="9">
        <v>2.58441807205315E-2</v>
      </c>
      <c r="D20" s="9">
        <v>-5.1572211527821104</v>
      </c>
      <c r="E20" s="9">
        <v>2.5064170872113302E-7</v>
      </c>
      <c r="F20" s="9">
        <v>5.6400067350974303E-2</v>
      </c>
      <c r="G20" s="9">
        <v>-2.3631914242021899</v>
      </c>
      <c r="H20" s="9">
        <v>1.81183082478245E-2</v>
      </c>
      <c r="K20" s="9" t="s">
        <v>88</v>
      </c>
      <c r="L20" s="9">
        <v>-7.5209195387797606E-2</v>
      </c>
      <c r="M20" s="9">
        <v>2.8162884330205602E-2</v>
      </c>
      <c r="N20" s="9">
        <v>-2.6705075554755302</v>
      </c>
      <c r="O20" s="9">
        <v>7.5736667075767504E-3</v>
      </c>
      <c r="P20" s="9">
        <v>3.7498454075488998E-2</v>
      </c>
      <c r="Q20" s="9">
        <v>-2.0056612263639502</v>
      </c>
      <c r="R20" s="9">
        <v>4.4892404708688903E-2</v>
      </c>
    </row>
    <row r="21" spans="1:18">
      <c r="A21" t="s">
        <v>89</v>
      </c>
      <c r="B21" s="9">
        <v>-0.104944708460621</v>
      </c>
      <c r="C21" s="9">
        <v>0.11636671159911099</v>
      </c>
      <c r="D21" s="9">
        <v>-0.90184475455627999</v>
      </c>
      <c r="E21" s="9">
        <v>0.36713934181247199</v>
      </c>
      <c r="F21" s="9">
        <v>0.15558449871269001</v>
      </c>
      <c r="G21" s="9">
        <v>-0.67451905124826805</v>
      </c>
      <c r="H21" s="9">
        <v>0.499981377808141</v>
      </c>
      <c r="K21" s="9" t="s">
        <v>89</v>
      </c>
      <c r="L21" s="9">
        <v>-0.31793766490908498</v>
      </c>
      <c r="M21" s="9">
        <v>0.117470495270477</v>
      </c>
      <c r="N21" s="9">
        <v>-2.7065320885643001</v>
      </c>
      <c r="O21" s="9">
        <v>6.7990011307572703E-3</v>
      </c>
      <c r="P21" s="9">
        <v>0.15351575677166901</v>
      </c>
      <c r="Q21" s="9">
        <v>-2.0710425535143502</v>
      </c>
      <c r="R21" s="9">
        <v>3.8354819538209302E-2</v>
      </c>
    </row>
    <row r="22" spans="1:18">
      <c r="A22" t="s">
        <v>90</v>
      </c>
      <c r="B22" s="9">
        <v>2.8162837047956499E-2</v>
      </c>
      <c r="C22" s="9">
        <v>0.11770181332176401</v>
      </c>
      <c r="D22" s="9">
        <v>0.23927275420105201</v>
      </c>
      <c r="E22" s="9">
        <v>0.810894090868715</v>
      </c>
      <c r="F22" s="9">
        <v>0.17374365588337201</v>
      </c>
      <c r="G22" s="9">
        <v>0.16209418930876701</v>
      </c>
      <c r="H22" s="9">
        <v>0.87123168194572698</v>
      </c>
      <c r="K22" s="9" t="s">
        <v>90</v>
      </c>
      <c r="L22" s="9">
        <v>-0.29637117082919101</v>
      </c>
      <c r="M22" s="9">
        <v>0.11534802620060999</v>
      </c>
      <c r="N22" s="9">
        <v>-2.5693649088866901</v>
      </c>
      <c r="O22" s="9">
        <v>1.0188510771411001E-2</v>
      </c>
      <c r="P22" s="9">
        <v>0.157651399755115</v>
      </c>
      <c r="Q22" s="9">
        <v>-1.87991461724764</v>
      </c>
      <c r="R22" s="9">
        <v>6.0119715426843398E-2</v>
      </c>
    </row>
    <row r="23" spans="1:18">
      <c r="A23" t="s">
        <v>14</v>
      </c>
      <c r="B23" s="9">
        <v>-0.43824738735464103</v>
      </c>
      <c r="C23" s="9">
        <v>8.9297884980112499E-2</v>
      </c>
      <c r="D23" s="9">
        <v>-4.9077017608227003</v>
      </c>
      <c r="E23" s="9">
        <v>9.2149838892829905E-7</v>
      </c>
      <c r="F23" s="9">
        <v>0.16794843030915099</v>
      </c>
      <c r="G23" s="9">
        <v>-2.6094163937581101</v>
      </c>
      <c r="H23" s="9">
        <v>9.0696805772123596E-3</v>
      </c>
      <c r="K23" s="9" t="s">
        <v>14</v>
      </c>
      <c r="L23" s="9">
        <v>-0.365911233064726</v>
      </c>
      <c r="M23" s="9">
        <v>8.8804313681654798E-2</v>
      </c>
      <c r="N23" s="9">
        <v>-4.1204218341964998</v>
      </c>
      <c r="O23" s="9">
        <v>3.7817935571338202E-5</v>
      </c>
      <c r="P23" s="9">
        <v>0.13502636917053901</v>
      </c>
      <c r="Q23" s="9">
        <v>-2.70992425636934</v>
      </c>
      <c r="R23" s="9">
        <v>6.7298574801120097E-3</v>
      </c>
    </row>
    <row r="24" spans="1:18">
      <c r="A24" t="s">
        <v>6</v>
      </c>
      <c r="B24" s="9">
        <v>0</v>
      </c>
      <c r="C24" s="9" t="s">
        <v>35</v>
      </c>
      <c r="D24" s="9" t="s">
        <v>35</v>
      </c>
      <c r="E24" s="9" t="s">
        <v>35</v>
      </c>
      <c r="F24" s="9" t="s">
        <v>35</v>
      </c>
      <c r="G24" s="9" t="s">
        <v>35</v>
      </c>
      <c r="H24" s="9" t="s">
        <v>35</v>
      </c>
      <c r="K24" s="9" t="s">
        <v>6</v>
      </c>
      <c r="L24" s="9">
        <v>0</v>
      </c>
      <c r="M24" s="9" t="s">
        <v>35</v>
      </c>
      <c r="N24" s="9" t="s">
        <v>35</v>
      </c>
      <c r="O24" s="9" t="s">
        <v>35</v>
      </c>
      <c r="P24" s="9" t="s">
        <v>35</v>
      </c>
      <c r="Q24" s="9" t="s">
        <v>35</v>
      </c>
      <c r="R24" s="9" t="s">
        <v>35</v>
      </c>
    </row>
    <row r="25" spans="1:18">
      <c r="A25" t="s">
        <v>7</v>
      </c>
      <c r="B25" s="9">
        <v>0</v>
      </c>
      <c r="C25" s="9" t="s">
        <v>35</v>
      </c>
      <c r="D25" s="9" t="s">
        <v>35</v>
      </c>
      <c r="E25" s="9" t="s">
        <v>35</v>
      </c>
      <c r="F25" s="9" t="s">
        <v>35</v>
      </c>
      <c r="G25" s="9" t="s">
        <v>35</v>
      </c>
      <c r="H25" s="9" t="s">
        <v>35</v>
      </c>
      <c r="K25" s="9" t="s">
        <v>7</v>
      </c>
      <c r="L25" s="9">
        <v>0</v>
      </c>
      <c r="M25" s="9" t="s">
        <v>35</v>
      </c>
      <c r="N25" s="9" t="s">
        <v>35</v>
      </c>
      <c r="O25" s="9" t="s">
        <v>35</v>
      </c>
      <c r="P25" s="9" t="s">
        <v>35</v>
      </c>
      <c r="Q25" s="9" t="s">
        <v>35</v>
      </c>
      <c r="R25" s="9" t="s">
        <v>35</v>
      </c>
    </row>
    <row r="26" spans="1:18">
      <c r="A26" t="s">
        <v>8</v>
      </c>
      <c r="B26" s="9">
        <v>0</v>
      </c>
      <c r="C26" s="9" t="s">
        <v>35</v>
      </c>
      <c r="D26" s="9" t="s">
        <v>35</v>
      </c>
      <c r="E26" s="9" t="s">
        <v>35</v>
      </c>
      <c r="F26" s="9" t="s">
        <v>35</v>
      </c>
      <c r="G26" s="9" t="s">
        <v>35</v>
      </c>
      <c r="H26" s="9" t="s">
        <v>35</v>
      </c>
      <c r="K26" s="9" t="s">
        <v>8</v>
      </c>
      <c r="L26" s="9">
        <v>0</v>
      </c>
      <c r="M26" s="9" t="s">
        <v>35</v>
      </c>
      <c r="N26" s="9" t="s">
        <v>35</v>
      </c>
      <c r="O26" s="9" t="s">
        <v>35</v>
      </c>
      <c r="P26" s="9" t="s">
        <v>35</v>
      </c>
      <c r="Q26" s="9" t="s">
        <v>35</v>
      </c>
      <c r="R26" s="9" t="s">
        <v>35</v>
      </c>
    </row>
    <row r="27" spans="1:18">
      <c r="A27" t="s">
        <v>45</v>
      </c>
      <c r="B27" s="9">
        <v>0</v>
      </c>
      <c r="C27" s="9" t="s">
        <v>35</v>
      </c>
      <c r="D27" s="9" t="s">
        <v>35</v>
      </c>
      <c r="E27" s="9" t="s">
        <v>35</v>
      </c>
      <c r="F27" s="9" t="s">
        <v>35</v>
      </c>
      <c r="G27" s="9" t="s">
        <v>35</v>
      </c>
      <c r="H27" s="9" t="s">
        <v>35</v>
      </c>
      <c r="K27" s="9" t="s">
        <v>45</v>
      </c>
      <c r="L27" s="9">
        <v>0</v>
      </c>
      <c r="M27" s="9" t="s">
        <v>35</v>
      </c>
      <c r="N27" s="9" t="s">
        <v>35</v>
      </c>
      <c r="O27" s="9" t="s">
        <v>35</v>
      </c>
      <c r="P27" s="9" t="s">
        <v>35</v>
      </c>
      <c r="Q27" s="9" t="s">
        <v>35</v>
      </c>
      <c r="R27" s="9" t="s">
        <v>35</v>
      </c>
    </row>
    <row r="28" spans="1:18">
      <c r="A28" t="s">
        <v>63</v>
      </c>
      <c r="B28" s="9">
        <v>0</v>
      </c>
      <c r="C28" s="9" t="s">
        <v>35</v>
      </c>
      <c r="D28" s="9" t="s">
        <v>35</v>
      </c>
      <c r="E28" s="9" t="s">
        <v>35</v>
      </c>
      <c r="F28" s="9" t="s">
        <v>35</v>
      </c>
      <c r="G28" s="9" t="s">
        <v>35</v>
      </c>
      <c r="H28" s="9" t="s">
        <v>35</v>
      </c>
      <c r="K28" s="9" t="s">
        <v>63</v>
      </c>
      <c r="L28" s="9">
        <v>0</v>
      </c>
      <c r="M28" s="9" t="s">
        <v>35</v>
      </c>
      <c r="N28" s="9" t="s">
        <v>35</v>
      </c>
      <c r="O28" s="9" t="s">
        <v>35</v>
      </c>
      <c r="P28" s="9" t="s">
        <v>35</v>
      </c>
      <c r="Q28" s="9" t="s">
        <v>35</v>
      </c>
      <c r="R28" s="9" t="s">
        <v>35</v>
      </c>
    </row>
    <row r="29" spans="1:18">
      <c r="A29" t="s">
        <v>64</v>
      </c>
      <c r="B29" s="9">
        <v>0</v>
      </c>
      <c r="C29" s="9" t="s">
        <v>35</v>
      </c>
      <c r="D29" s="9" t="s">
        <v>35</v>
      </c>
      <c r="E29" s="9" t="s">
        <v>35</v>
      </c>
      <c r="F29" s="9" t="s">
        <v>35</v>
      </c>
      <c r="G29" s="9" t="s">
        <v>35</v>
      </c>
      <c r="H29" s="9" t="s">
        <v>35</v>
      </c>
      <c r="K29" s="9" t="s">
        <v>64</v>
      </c>
      <c r="L29" s="9">
        <v>0</v>
      </c>
      <c r="M29" s="9" t="s">
        <v>35</v>
      </c>
      <c r="N29" s="9" t="s">
        <v>35</v>
      </c>
      <c r="O29" s="9" t="s">
        <v>35</v>
      </c>
      <c r="P29" s="9" t="s">
        <v>35</v>
      </c>
      <c r="Q29" s="9" t="s">
        <v>35</v>
      </c>
      <c r="R29" s="9" t="s">
        <v>35</v>
      </c>
    </row>
    <row r="30" spans="1:18">
      <c r="A30" t="s">
        <v>65</v>
      </c>
      <c r="B30" s="9">
        <v>0</v>
      </c>
      <c r="C30" s="9" t="s">
        <v>35</v>
      </c>
      <c r="D30" s="9" t="s">
        <v>35</v>
      </c>
      <c r="E30" s="9" t="s">
        <v>35</v>
      </c>
      <c r="F30" s="9" t="s">
        <v>35</v>
      </c>
      <c r="G30" s="9" t="s">
        <v>35</v>
      </c>
      <c r="H30" s="9" t="s">
        <v>35</v>
      </c>
      <c r="K30" s="9" t="s">
        <v>65</v>
      </c>
      <c r="L30" s="9">
        <v>0</v>
      </c>
      <c r="M30" s="9" t="s">
        <v>35</v>
      </c>
      <c r="N30" s="9" t="s">
        <v>35</v>
      </c>
      <c r="O30" s="9" t="s">
        <v>35</v>
      </c>
      <c r="P30" s="9" t="s">
        <v>35</v>
      </c>
      <c r="Q30" s="9" t="s">
        <v>35</v>
      </c>
      <c r="R30" s="9" t="s">
        <v>35</v>
      </c>
    </row>
    <row r="31" spans="1:18">
      <c r="A31" t="s">
        <v>66</v>
      </c>
      <c r="B31" s="9">
        <v>0</v>
      </c>
      <c r="C31" s="9" t="s">
        <v>35</v>
      </c>
      <c r="D31" s="9" t="s">
        <v>35</v>
      </c>
      <c r="E31" s="9" t="s">
        <v>35</v>
      </c>
      <c r="F31" s="9" t="s">
        <v>35</v>
      </c>
      <c r="G31" s="9" t="s">
        <v>35</v>
      </c>
      <c r="H31" s="9" t="s">
        <v>35</v>
      </c>
      <c r="K31" s="9" t="s">
        <v>66</v>
      </c>
      <c r="L31" s="9">
        <v>0</v>
      </c>
      <c r="M31" s="9" t="s">
        <v>35</v>
      </c>
      <c r="N31" s="9" t="s">
        <v>35</v>
      </c>
      <c r="O31" s="9" t="s">
        <v>35</v>
      </c>
      <c r="P31" s="9" t="s">
        <v>35</v>
      </c>
      <c r="Q31" s="9" t="s">
        <v>35</v>
      </c>
      <c r="R31" s="9" t="s">
        <v>35</v>
      </c>
    </row>
    <row r="32" spans="1:18">
      <c r="A32" t="s">
        <v>9</v>
      </c>
      <c r="B32" s="9">
        <v>0.24002916916435801</v>
      </c>
      <c r="C32" s="9">
        <v>0.45021104282087299</v>
      </c>
      <c r="D32" s="9">
        <v>0.53314811573793197</v>
      </c>
      <c r="E32" s="9">
        <v>0.59393105407863001</v>
      </c>
      <c r="F32" s="9">
        <v>0.51063985780662602</v>
      </c>
      <c r="G32" s="9">
        <v>0.47005568698723599</v>
      </c>
      <c r="H32" s="9">
        <v>0.638315232481527</v>
      </c>
      <c r="K32" s="9" t="s">
        <v>9</v>
      </c>
      <c r="L32" s="9">
        <v>-0.38547264467910303</v>
      </c>
      <c r="M32" s="9">
        <v>0.34012714632591501</v>
      </c>
      <c r="N32" s="9">
        <v>-1.1333192567632899</v>
      </c>
      <c r="O32" s="9">
        <v>0.25708020785918301</v>
      </c>
      <c r="P32" s="9">
        <v>0.38454987348219</v>
      </c>
      <c r="Q32" s="9">
        <v>-1.0023996138356699</v>
      </c>
      <c r="R32" s="9">
        <v>0.31615062856770598</v>
      </c>
    </row>
    <row r="33" spans="1:18">
      <c r="A33" t="s">
        <v>10</v>
      </c>
      <c r="B33" s="9">
        <v>-1.1361669259329099</v>
      </c>
      <c r="C33" s="9">
        <v>0.19941064095001901</v>
      </c>
      <c r="D33" s="9">
        <v>-5.6976243620704699</v>
      </c>
      <c r="E33" s="9">
        <v>1.2148835937253501E-8</v>
      </c>
      <c r="F33" s="9">
        <v>0.22222038759451099</v>
      </c>
      <c r="G33" s="9">
        <v>-5.1127933770239604</v>
      </c>
      <c r="H33" s="9">
        <v>3.17429448948303E-7</v>
      </c>
      <c r="K33" s="9" t="s">
        <v>10</v>
      </c>
      <c r="L33" s="9">
        <v>-0.81393809974620801</v>
      </c>
      <c r="M33" s="9">
        <v>0.141850229527131</v>
      </c>
      <c r="N33" s="9">
        <v>-5.7380104527115297</v>
      </c>
      <c r="O33" s="9">
        <v>9.5795205101722997E-9</v>
      </c>
      <c r="P33" s="9">
        <v>0.14545762479398699</v>
      </c>
      <c r="Q33" s="9">
        <v>-5.5957059720932403</v>
      </c>
      <c r="R33" s="9">
        <v>2.19725810879368E-8</v>
      </c>
    </row>
    <row r="34" spans="1:18">
      <c r="A34" t="s">
        <v>11</v>
      </c>
      <c r="B34" s="9">
        <v>-6.8448285682231005E-2</v>
      </c>
      <c r="C34" s="9">
        <v>0.17882836809229399</v>
      </c>
      <c r="D34" s="9">
        <v>-0.382759661749554</v>
      </c>
      <c r="E34" s="9">
        <v>0.70189797315764801</v>
      </c>
      <c r="F34" s="9">
        <v>0.24546506248827399</v>
      </c>
      <c r="G34" s="9">
        <v>-0.27885143811657898</v>
      </c>
      <c r="H34" s="9">
        <v>0.78035883753497803</v>
      </c>
      <c r="K34" s="9" t="s">
        <v>11</v>
      </c>
      <c r="L34" s="9">
        <v>5.0797776844333599E-2</v>
      </c>
      <c r="M34" s="9">
        <v>0.13467880248135999</v>
      </c>
      <c r="N34" s="9">
        <v>0.37717722394631598</v>
      </c>
      <c r="O34" s="9">
        <v>0.70604190513814702</v>
      </c>
      <c r="P34" s="9">
        <v>0.14400245089757499</v>
      </c>
      <c r="Q34" s="9">
        <v>0.35275633524088101</v>
      </c>
      <c r="R34" s="9">
        <v>0.72427112135710503</v>
      </c>
    </row>
    <row r="35" spans="1:18">
      <c r="A35" t="s">
        <v>46</v>
      </c>
      <c r="B35" s="9">
        <v>-6.0144858446648297E-2</v>
      </c>
      <c r="C35" s="9">
        <v>3.4551320074426503E-2</v>
      </c>
      <c r="D35" s="9">
        <v>-1.7407398130401699</v>
      </c>
      <c r="E35" s="9">
        <v>8.17291961896984E-2</v>
      </c>
      <c r="F35" s="9">
        <v>3.6525285157467099E-2</v>
      </c>
      <c r="G35" s="9">
        <v>-1.6466636245919199</v>
      </c>
      <c r="H35" s="9">
        <v>9.9627204886909598E-2</v>
      </c>
      <c r="K35" s="9" t="s">
        <v>46</v>
      </c>
      <c r="L35" s="9">
        <v>5.6584287021813496E-3</v>
      </c>
      <c r="M35" s="9">
        <v>2.6302529716127499E-2</v>
      </c>
      <c r="N35" s="9">
        <v>0.215128687744124</v>
      </c>
      <c r="O35" s="9">
        <v>0.829666987913524</v>
      </c>
      <c r="P35" s="9">
        <v>2.9117051047117499E-2</v>
      </c>
      <c r="Q35" s="9">
        <v>0.19433385245727</v>
      </c>
      <c r="R35" s="9">
        <v>0.84591448044068995</v>
      </c>
    </row>
    <row r="36" spans="1:18">
      <c r="A36" t="s">
        <v>67</v>
      </c>
      <c r="B36" s="9">
        <v>0.195341670854628</v>
      </c>
      <c r="C36" s="9">
        <v>0.41911804828189603</v>
      </c>
      <c r="D36" s="9">
        <v>0.46607792638708501</v>
      </c>
      <c r="E36" s="9">
        <v>0.64115972268853605</v>
      </c>
      <c r="F36" s="9">
        <v>0.61243061417002498</v>
      </c>
      <c r="G36" s="9">
        <v>0.31896130979565401</v>
      </c>
      <c r="H36" s="9">
        <v>0.74975585187235005</v>
      </c>
      <c r="K36" s="9" t="s">
        <v>67</v>
      </c>
      <c r="L36" s="9">
        <v>-0.18822447217004401</v>
      </c>
      <c r="M36" s="9">
        <v>0.30892769639925799</v>
      </c>
      <c r="N36" s="9">
        <v>-0.60928325418509199</v>
      </c>
      <c r="O36" s="9">
        <v>0.54233670480560203</v>
      </c>
      <c r="P36" s="9">
        <v>0.32786387643387699</v>
      </c>
      <c r="Q36" s="9">
        <v>-0.57409335306265297</v>
      </c>
      <c r="R36" s="9">
        <v>0.565904631082642</v>
      </c>
    </row>
    <row r="37" spans="1:18">
      <c r="A37" t="s">
        <v>68</v>
      </c>
      <c r="B37" s="9">
        <v>-0.110806835749605</v>
      </c>
      <c r="C37" s="9">
        <v>0.43069015484803103</v>
      </c>
      <c r="D37" s="9">
        <v>-0.25727738259701499</v>
      </c>
      <c r="E37" s="9">
        <v>0.79696465100480796</v>
      </c>
      <c r="F37" s="9">
        <v>0.463623130958284</v>
      </c>
      <c r="G37" s="9">
        <v>-0.239001957302202</v>
      </c>
      <c r="H37" s="9">
        <v>0.81110406501205401</v>
      </c>
      <c r="K37" s="9" t="s">
        <v>68</v>
      </c>
      <c r="L37" s="9">
        <v>-0.13005195920319301</v>
      </c>
      <c r="M37" s="9">
        <v>0.32059176460118999</v>
      </c>
      <c r="N37" s="9">
        <v>-0.40566219586137903</v>
      </c>
      <c r="O37" s="9">
        <v>0.68499082289803703</v>
      </c>
      <c r="P37" s="9">
        <v>0.33726379255972999</v>
      </c>
      <c r="Q37" s="9">
        <v>-0.38560901606466103</v>
      </c>
      <c r="R37" s="9">
        <v>0.69978625487430102</v>
      </c>
    </row>
    <row r="38" spans="1:18">
      <c r="A38" t="s">
        <v>69</v>
      </c>
      <c r="B38" s="9">
        <v>-0.170438685973714</v>
      </c>
      <c r="C38" s="9">
        <v>0.45870350365153301</v>
      </c>
      <c r="D38" s="9">
        <v>-0.37156613066376798</v>
      </c>
      <c r="E38" s="9">
        <v>0.71021591021332298</v>
      </c>
      <c r="F38" s="9">
        <v>0.64131918867473203</v>
      </c>
      <c r="G38" s="9">
        <v>-0.26576264827802898</v>
      </c>
      <c r="H38" s="9">
        <v>0.79042201133448797</v>
      </c>
      <c r="K38" s="9" t="s">
        <v>69</v>
      </c>
      <c r="L38" s="9">
        <v>-0.164131559612407</v>
      </c>
      <c r="M38" s="9">
        <v>0.33139943010909501</v>
      </c>
      <c r="N38" s="9">
        <v>-0.49526808045015502</v>
      </c>
      <c r="O38" s="9">
        <v>0.62041089926966897</v>
      </c>
      <c r="P38" s="9">
        <v>0.35449353672969502</v>
      </c>
      <c r="Q38" s="9">
        <v>-0.46300296791464202</v>
      </c>
      <c r="R38" s="9">
        <v>0.64336223974106899</v>
      </c>
    </row>
    <row r="39" spans="1:18">
      <c r="A39" t="s">
        <v>70</v>
      </c>
      <c r="B39" s="9">
        <v>-0.40579661094444103</v>
      </c>
      <c r="C39" s="9">
        <v>0.45506130262426697</v>
      </c>
      <c r="D39" s="9">
        <v>-0.89174053826215505</v>
      </c>
      <c r="E39" s="9">
        <v>0.372532019668534</v>
      </c>
      <c r="F39" s="9">
        <v>0.56130073019226401</v>
      </c>
      <c r="G39" s="9">
        <v>-0.722957568228074</v>
      </c>
      <c r="H39" s="9">
        <v>0.46970595346413802</v>
      </c>
      <c r="K39" s="9" t="s">
        <v>70</v>
      </c>
      <c r="L39" s="9">
        <v>-0.22754254815062</v>
      </c>
      <c r="M39" s="9">
        <v>0.37767192041655001</v>
      </c>
      <c r="N39" s="9">
        <v>-0.60248733318498604</v>
      </c>
      <c r="O39" s="9">
        <v>0.54684979232841702</v>
      </c>
      <c r="P39" s="9">
        <v>0.38857194346312401</v>
      </c>
      <c r="Q39" s="9">
        <v>-0.58558666413910498</v>
      </c>
      <c r="R39" s="9">
        <v>0.55815331228200804</v>
      </c>
    </row>
    <row r="40" spans="1:18">
      <c r="A40" t="s">
        <v>15</v>
      </c>
      <c r="B40" s="9">
        <v>1.3316835410321199</v>
      </c>
      <c r="C40" s="9">
        <v>0.449781930880985</v>
      </c>
      <c r="D40" s="9">
        <v>2.9607315225486301</v>
      </c>
      <c r="E40" s="9">
        <v>3.0690934903119201E-3</v>
      </c>
      <c r="F40" s="9">
        <v>0.57946354447928194</v>
      </c>
      <c r="G40" s="9">
        <v>2.2981317008109601</v>
      </c>
      <c r="H40" s="9">
        <v>2.1554294487385401E-2</v>
      </c>
      <c r="K40" s="9" t="s">
        <v>15</v>
      </c>
      <c r="L40" s="9">
        <v>0.43520535903362201</v>
      </c>
      <c r="M40" s="9">
        <v>0.38139961989523302</v>
      </c>
      <c r="N40" s="9">
        <v>1.1410744435276801</v>
      </c>
      <c r="O40" s="9">
        <v>0.25383894532943102</v>
      </c>
      <c r="P40" s="9">
        <v>0.52435014546262104</v>
      </c>
      <c r="Q40" s="9">
        <v>0.82998996529246905</v>
      </c>
      <c r="R40" s="9">
        <v>0.40654445719266002</v>
      </c>
    </row>
    <row r="41" spans="1:18">
      <c r="A41" t="s">
        <v>16</v>
      </c>
      <c r="B41" s="9">
        <v>-0.38770658796748397</v>
      </c>
      <c r="C41" s="9">
        <v>0.20322574168381499</v>
      </c>
      <c r="D41" s="9">
        <v>-1.90776318371464</v>
      </c>
      <c r="E41" s="9">
        <v>5.6421831189916102E-2</v>
      </c>
      <c r="F41" s="9">
        <v>0.227763235986221</v>
      </c>
      <c r="G41" s="9">
        <v>-1.70223515787657</v>
      </c>
      <c r="H41" s="9">
        <v>8.8711294549795594E-2</v>
      </c>
      <c r="K41" s="9" t="s">
        <v>16</v>
      </c>
      <c r="L41" s="9">
        <v>-0.35241347906096698</v>
      </c>
      <c r="M41" s="9">
        <v>0.15358710434275</v>
      </c>
      <c r="N41" s="9">
        <v>-2.2945512292133001</v>
      </c>
      <c r="O41" s="9">
        <v>2.1758855988628801E-2</v>
      </c>
      <c r="P41" s="9">
        <v>0.16427828705904601</v>
      </c>
      <c r="Q41" s="9">
        <v>-2.1452225085248302</v>
      </c>
      <c r="R41" s="9">
        <v>3.19350607887341E-2</v>
      </c>
    </row>
    <row r="42" spans="1:18">
      <c r="A42" t="s">
        <v>17</v>
      </c>
      <c r="B42" s="9">
        <v>-0.40669368082678697</v>
      </c>
      <c r="C42" s="9">
        <v>0.174641592987126</v>
      </c>
      <c r="D42" s="9">
        <v>-2.3287332294132699</v>
      </c>
      <c r="E42" s="9">
        <v>1.9873202594553999E-2</v>
      </c>
      <c r="F42" s="9">
        <v>0.245723081880446</v>
      </c>
      <c r="G42" s="9">
        <v>-1.6550894515667001</v>
      </c>
      <c r="H42" s="9">
        <v>9.7906354279282001E-2</v>
      </c>
      <c r="K42" s="9" t="s">
        <v>17</v>
      </c>
      <c r="L42" s="9">
        <v>-0.30195674829907299</v>
      </c>
      <c r="M42" s="9">
        <v>0.127755981379541</v>
      </c>
      <c r="N42" s="9">
        <v>-2.36354294365296</v>
      </c>
      <c r="O42" s="9">
        <v>1.8101128667396701E-2</v>
      </c>
      <c r="P42" s="9">
        <v>0.13130230998446901</v>
      </c>
      <c r="Q42" s="9">
        <v>-2.2997062910377601</v>
      </c>
      <c r="R42" s="9">
        <v>2.1464865474445399E-2</v>
      </c>
    </row>
    <row r="43" spans="1:18">
      <c r="A43" t="s">
        <v>71</v>
      </c>
      <c r="B43" s="9">
        <v>-9.1144456073219901E-3</v>
      </c>
      <c r="C43" s="9">
        <v>0.421210217037849</v>
      </c>
      <c r="D43" s="9">
        <v>-2.16387096956458E-2</v>
      </c>
      <c r="E43" s="9">
        <v>0.98273615488117205</v>
      </c>
      <c r="F43" s="9">
        <v>0.71195568307519397</v>
      </c>
      <c r="G43" s="9">
        <v>-1.28019844830136E-2</v>
      </c>
      <c r="H43" s="9">
        <v>0.98978577323710504</v>
      </c>
      <c r="K43" s="9" t="s">
        <v>71</v>
      </c>
      <c r="L43" s="9">
        <v>-2.7483350612769401E-2</v>
      </c>
      <c r="M43" s="9">
        <v>0.30594282479750701</v>
      </c>
      <c r="N43" s="9">
        <v>-8.9831656065017002E-2</v>
      </c>
      <c r="O43" s="9">
        <v>0.92842099197711503</v>
      </c>
      <c r="P43" s="9">
        <v>0.32887983791306202</v>
      </c>
      <c r="Q43" s="9">
        <v>-8.3566541467447797E-2</v>
      </c>
      <c r="R43" s="9">
        <v>0.93340106989558003</v>
      </c>
    </row>
    <row r="44" spans="1:18">
      <c r="A44" t="s">
        <v>47</v>
      </c>
      <c r="B44" s="9">
        <v>-2.9455096753330998E-2</v>
      </c>
      <c r="C44" s="9">
        <v>3.1263171698682E-2</v>
      </c>
      <c r="D44" s="9">
        <v>-0.94216597846253602</v>
      </c>
      <c r="E44" s="9">
        <v>0.34610766920944402</v>
      </c>
      <c r="F44" s="9">
        <v>3.5742533346450403E-2</v>
      </c>
      <c r="G44" s="9">
        <v>-0.82409090782190197</v>
      </c>
      <c r="H44" s="9">
        <v>0.40988790594455299</v>
      </c>
      <c r="K44" s="9" t="s">
        <v>47</v>
      </c>
      <c r="L44" s="9">
        <v>-4.6473843394401901E-2</v>
      </c>
      <c r="M44" s="9">
        <v>2.6641994836556299E-2</v>
      </c>
      <c r="N44" s="9">
        <v>-1.7443830193463501</v>
      </c>
      <c r="O44" s="9">
        <v>8.10923239592687E-2</v>
      </c>
      <c r="P44" s="9">
        <v>2.9487706290823101E-2</v>
      </c>
      <c r="Q44" s="9">
        <v>-1.5760413148466901</v>
      </c>
      <c r="R44" s="9">
        <v>0.115016282115934</v>
      </c>
    </row>
    <row r="45" spans="1:18">
      <c r="A45" t="s">
        <v>72</v>
      </c>
      <c r="B45" s="9">
        <v>0.37510619018177299</v>
      </c>
      <c r="C45" s="9">
        <v>0.39071901711199097</v>
      </c>
      <c r="D45" s="9">
        <v>0.96004078059568199</v>
      </c>
      <c r="E45" s="9">
        <v>0.33703469092317501</v>
      </c>
      <c r="F45" s="9">
        <v>0.42398556461268599</v>
      </c>
      <c r="G45" s="9">
        <v>0.88471453155353397</v>
      </c>
      <c r="H45" s="9">
        <v>0.37631061617098199</v>
      </c>
      <c r="K45" s="9" t="s">
        <v>72</v>
      </c>
      <c r="L45" s="9">
        <v>-8.9935148772823298E-2</v>
      </c>
      <c r="M45" s="9">
        <v>0.31373386019736599</v>
      </c>
      <c r="N45" s="9">
        <v>-0.28666063878551801</v>
      </c>
      <c r="O45" s="9">
        <v>0.77437217890140497</v>
      </c>
      <c r="P45" s="9">
        <v>0.33067624328352202</v>
      </c>
      <c r="Q45" s="9">
        <v>-0.27197341992213397</v>
      </c>
      <c r="R45" s="9">
        <v>0.78564245706563196</v>
      </c>
    </row>
    <row r="46" spans="1:18">
      <c r="A46" t="s">
        <v>73</v>
      </c>
      <c r="B46" s="9">
        <v>-0.87130795977813202</v>
      </c>
      <c r="C46" s="9">
        <v>0.43107507479811602</v>
      </c>
      <c r="D46" s="9">
        <v>-2.0212441189882999</v>
      </c>
      <c r="E46" s="9">
        <v>4.3254500669397601E-2</v>
      </c>
      <c r="F46" s="9">
        <v>0.57160605483737403</v>
      </c>
      <c r="G46" s="9">
        <v>-1.52431548337259</v>
      </c>
      <c r="H46" s="9">
        <v>0.127429921181061</v>
      </c>
      <c r="K46" s="9" t="s">
        <v>73</v>
      </c>
      <c r="L46" s="9">
        <v>-0.37708293663848302</v>
      </c>
      <c r="M46" s="9">
        <v>0.340237307958632</v>
      </c>
      <c r="N46" s="9">
        <v>-1.1082939108027801</v>
      </c>
      <c r="O46" s="9">
        <v>0.26773490438094</v>
      </c>
      <c r="P46" s="9">
        <v>0.369859564565924</v>
      </c>
      <c r="Q46" s="9">
        <v>-1.0195300399518901</v>
      </c>
      <c r="R46" s="9">
        <v>0.30795139925397402</v>
      </c>
    </row>
    <row r="47" spans="1:18">
      <c r="A47" t="s">
        <v>74</v>
      </c>
      <c r="B47" s="9">
        <v>-0.70228238701041701</v>
      </c>
      <c r="C47" s="9">
        <v>0.47224016045540801</v>
      </c>
      <c r="D47" s="9">
        <v>-1.4871297399466501</v>
      </c>
      <c r="E47" s="9">
        <v>0.136980548163947</v>
      </c>
      <c r="F47" s="9">
        <v>0.67049371214365305</v>
      </c>
      <c r="G47" s="9">
        <v>-1.04741084709822</v>
      </c>
      <c r="H47" s="9">
        <v>0.29491013102666902</v>
      </c>
      <c r="K47" s="9" t="s">
        <v>74</v>
      </c>
      <c r="L47" s="9">
        <v>0.39286953145351799</v>
      </c>
      <c r="M47" s="9">
        <v>0.336726142980522</v>
      </c>
      <c r="N47" s="9">
        <v>1.1667330845655299</v>
      </c>
      <c r="O47" s="9">
        <v>0.243318177531819</v>
      </c>
      <c r="P47" s="9">
        <v>0.34821255561314302</v>
      </c>
      <c r="Q47" s="9">
        <v>1.1282463113994901</v>
      </c>
      <c r="R47" s="9">
        <v>0.25921591046583198</v>
      </c>
    </row>
    <row r="48" spans="1:18">
      <c r="A48" s="9"/>
      <c r="K48" s="9"/>
      <c r="L48" s="9"/>
      <c r="M48" s="9"/>
      <c r="N48" s="9"/>
      <c r="O48" s="9"/>
      <c r="P48" s="9"/>
      <c r="Q48" s="9"/>
      <c r="R48" s="9"/>
    </row>
    <row r="49" spans="1:18">
      <c r="A49" s="9"/>
      <c r="K49" s="9"/>
      <c r="L49" s="9"/>
      <c r="M49" s="9"/>
      <c r="N49" s="9"/>
      <c r="O49" s="9"/>
      <c r="P49" s="9"/>
      <c r="Q49" s="9"/>
      <c r="R49" s="9"/>
    </row>
    <row r="50" spans="1:18">
      <c r="A50" s="9"/>
      <c r="K50" s="9"/>
      <c r="L50" s="9"/>
      <c r="M50" s="9"/>
      <c r="N50" s="9"/>
      <c r="O50" s="9"/>
      <c r="P50" s="9"/>
      <c r="Q50" s="9"/>
      <c r="R50" s="9"/>
    </row>
  </sheetData>
  <conditionalFormatting sqref="H2:H50">
    <cfRule type="cellIs" dxfId="5" priority="4" operator="lessThan">
      <formula>0.01</formula>
    </cfRule>
    <cfRule type="cellIs" dxfId="4" priority="5" operator="lessThan">
      <formula>0.05</formula>
    </cfRule>
    <cfRule type="cellIs" dxfId="3" priority="6" operator="lessThan">
      <formula>0.1</formula>
    </cfRule>
  </conditionalFormatting>
  <conditionalFormatting sqref="R1:R1048576">
    <cfRule type="cellIs" dxfId="2" priority="1" operator="lessThan">
      <formula>0.01</formula>
    </cfRule>
    <cfRule type="cellIs" dxfId="1" priority="2" operator="lessThan">
      <formula>0.05</formula>
    </cfRule>
    <cfRule type="cellIs" dxfId="0" priority="3" operator="lessThan">
      <formula>0.1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655B2-6FB3-1B45-B9BF-28A8708E70F6}">
  <sheetPr>
    <tabColor rgb="FFC00000"/>
  </sheetPr>
  <dimension ref="A1:Y27"/>
  <sheetViews>
    <sheetView tabSelected="1" workbookViewId="0">
      <pane xSplit="5" ySplit="5" topLeftCell="F20" activePane="bottomRight" state="frozen"/>
      <selection pane="topRight" activeCell="F1" sqref="F1"/>
      <selection pane="bottomLeft" activeCell="A6" sqref="A6"/>
      <selection pane="bottomRight" activeCell="F18" sqref="F18:K27"/>
    </sheetView>
  </sheetViews>
  <sheetFormatPr baseColWidth="10" defaultRowHeight="16"/>
  <cols>
    <col min="1" max="1" width="14.1640625" style="29" customWidth="1"/>
    <col min="2" max="2" width="10.83203125" style="29"/>
    <col min="3" max="3" width="10.83203125" style="30"/>
    <col min="4" max="4" width="10.83203125" style="31"/>
    <col min="5" max="5" width="27.83203125" style="32" customWidth="1"/>
    <col min="6" max="15" width="10.83203125" style="29"/>
    <col min="16" max="19" width="16.1640625" style="33" customWidth="1"/>
    <col min="20" max="21" width="10.83203125" style="34"/>
    <col min="22" max="22" width="19.83203125" style="34" customWidth="1"/>
    <col min="23" max="23" width="10.83203125" style="4"/>
    <col min="24" max="24" width="18.1640625" style="35" customWidth="1"/>
    <col min="25" max="16384" width="10.83203125" style="29"/>
  </cols>
  <sheetData>
    <row r="1" spans="1:25" s="15" customFormat="1" ht="41" customHeight="1">
      <c r="A1" s="13" t="s">
        <v>18</v>
      </c>
      <c r="B1" s="14"/>
      <c r="C1" s="1"/>
      <c r="D1" s="2"/>
      <c r="E1" s="15" t="s">
        <v>21</v>
      </c>
      <c r="F1" s="52" t="s">
        <v>19</v>
      </c>
      <c r="G1" s="52"/>
      <c r="H1" s="52"/>
      <c r="I1" s="52"/>
      <c r="J1" s="52"/>
      <c r="K1" s="52"/>
      <c r="L1" s="11"/>
      <c r="M1" s="52" t="s">
        <v>20</v>
      </c>
      <c r="N1" s="52"/>
      <c r="O1" s="52"/>
      <c r="P1" s="52"/>
      <c r="Q1" s="52"/>
      <c r="R1" s="52"/>
      <c r="S1" s="52"/>
      <c r="T1" s="3"/>
      <c r="U1" s="3"/>
      <c r="V1" s="3"/>
      <c r="W1" s="3"/>
      <c r="X1" s="16"/>
    </row>
    <row r="2" spans="1:25" s="15" customFormat="1" ht="73" customHeight="1">
      <c r="A2" s="15" t="s">
        <v>22</v>
      </c>
      <c r="B2" s="3" t="s">
        <v>23</v>
      </c>
      <c r="C2" s="1" t="s">
        <v>24</v>
      </c>
      <c r="D2" s="2" t="s">
        <v>25</v>
      </c>
      <c r="E2" s="2"/>
      <c r="F2" s="3" t="s">
        <v>26</v>
      </c>
      <c r="G2" s="3" t="s">
        <v>27</v>
      </c>
      <c r="H2" s="3" t="s">
        <v>91</v>
      </c>
      <c r="I2" s="3" t="s">
        <v>92</v>
      </c>
      <c r="J2" s="3" t="s">
        <v>93</v>
      </c>
      <c r="K2" s="3" t="s">
        <v>94</v>
      </c>
      <c r="L2" s="17"/>
      <c r="M2" s="15" t="s">
        <v>48</v>
      </c>
      <c r="N2" s="3" t="s">
        <v>28</v>
      </c>
      <c r="O2" s="3" t="s">
        <v>29</v>
      </c>
      <c r="P2" s="1" t="s">
        <v>52</v>
      </c>
      <c r="Q2" s="1" t="s">
        <v>53</v>
      </c>
      <c r="R2" s="1" t="s">
        <v>54</v>
      </c>
      <c r="S2" s="1" t="s">
        <v>55</v>
      </c>
      <c r="T2" s="38" t="s">
        <v>49</v>
      </c>
      <c r="U2" s="38" t="s">
        <v>50</v>
      </c>
      <c r="V2" s="38" t="s">
        <v>51</v>
      </c>
      <c r="W2" s="38" t="s">
        <v>30</v>
      </c>
      <c r="X2" s="18"/>
    </row>
    <row r="3" spans="1:25" s="19" customFormat="1" ht="61" customHeight="1">
      <c r="B3" s="20"/>
      <c r="C3" s="21"/>
      <c r="D3" s="22"/>
      <c r="E3" s="22"/>
      <c r="F3" s="20"/>
      <c r="G3" s="20" t="s">
        <v>31</v>
      </c>
      <c r="H3" s="20" t="s">
        <v>32</v>
      </c>
      <c r="I3" s="20" t="s">
        <v>95</v>
      </c>
      <c r="J3" s="20" t="s">
        <v>96</v>
      </c>
      <c r="K3" s="20" t="s">
        <v>97</v>
      </c>
      <c r="L3" s="20"/>
      <c r="M3" s="23">
        <v>10000</v>
      </c>
      <c r="N3" s="20" t="s">
        <v>33</v>
      </c>
      <c r="O3" s="20" t="s">
        <v>33</v>
      </c>
      <c r="P3" s="21"/>
      <c r="Q3" s="21"/>
      <c r="R3" s="21"/>
      <c r="S3" s="21"/>
      <c r="T3" s="20"/>
      <c r="U3" s="20"/>
      <c r="V3" s="20"/>
      <c r="W3" s="20"/>
      <c r="X3" s="24"/>
    </row>
    <row r="4" spans="1:25" s="19" customFormat="1" ht="40" hidden="1" customHeight="1">
      <c r="B4" s="20"/>
      <c r="C4" s="21"/>
      <c r="D4" s="22"/>
      <c r="E4" s="22"/>
      <c r="F4" s="20"/>
      <c r="H4" s="20"/>
      <c r="I4" s="20"/>
      <c r="J4" s="20"/>
      <c r="K4" s="20"/>
      <c r="L4" s="20"/>
      <c r="N4" s="20"/>
      <c r="O4" s="20"/>
      <c r="P4" s="21"/>
      <c r="Q4" s="21"/>
      <c r="R4" s="21"/>
      <c r="S4" s="21"/>
      <c r="T4" s="20"/>
      <c r="U4" s="20"/>
      <c r="V4" s="20"/>
      <c r="W4" s="20"/>
      <c r="X4" s="24"/>
    </row>
    <row r="5" spans="1:25" s="25" customFormat="1" ht="19" hidden="1" customHeight="1">
      <c r="A5" s="4" t="s">
        <v>34</v>
      </c>
      <c r="B5" s="25" t="s">
        <v>35</v>
      </c>
      <c r="C5" s="5">
        <v>1</v>
      </c>
      <c r="D5" s="6">
        <v>334</v>
      </c>
      <c r="E5" s="6"/>
      <c r="F5" s="26">
        <v>-12.69065975</v>
      </c>
      <c r="G5" s="26">
        <v>-5.4230934299999998</v>
      </c>
      <c r="H5" s="26">
        <v>-0.70495701</v>
      </c>
      <c r="I5" s="26">
        <v>0.60290829999999995</v>
      </c>
      <c r="J5" s="7">
        <v>-0.63559155000000001</v>
      </c>
      <c r="K5" s="26">
        <v>-0.39466126000000001</v>
      </c>
      <c r="L5" s="26"/>
      <c r="N5" s="4">
        <v>-6.8361689999999996E-3</v>
      </c>
      <c r="O5" s="4">
        <v>7.4320150000000001E-2</v>
      </c>
      <c r="P5" s="5"/>
      <c r="Q5" s="5"/>
      <c r="R5" s="5"/>
      <c r="S5" s="5"/>
      <c r="T5" s="4"/>
      <c r="U5" s="4"/>
      <c r="V5" s="4"/>
      <c r="W5" s="4"/>
      <c r="X5" s="27"/>
    </row>
    <row r="6" spans="1:25">
      <c r="A6" s="28" t="s">
        <v>75</v>
      </c>
      <c r="D6" s="31">
        <v>385</v>
      </c>
      <c r="F6" s="26"/>
      <c r="G6" s="26"/>
      <c r="H6" s="26"/>
      <c r="I6" s="26"/>
      <c r="J6" s="26"/>
      <c r="K6" s="26"/>
      <c r="L6" s="26"/>
      <c r="N6" s="26"/>
      <c r="O6" s="26"/>
    </row>
    <row r="7" spans="1:25" s="26" customFormat="1" ht="24" customHeight="1">
      <c r="A7" s="53" t="s">
        <v>77</v>
      </c>
      <c r="B7" s="4" t="s">
        <v>36</v>
      </c>
      <c r="C7" s="30">
        <v>0.29559999999999997</v>
      </c>
      <c r="D7" s="31">
        <f>C7*$D$6</f>
        <v>113.80599999999998</v>
      </c>
      <c r="E7" s="26" t="s">
        <v>102</v>
      </c>
      <c r="F7" s="26">
        <v>-2.1306720000000001</v>
      </c>
      <c r="G7" s="26">
        <v>-0.15268522000000001</v>
      </c>
      <c r="H7" s="39">
        <v>1.8632242999999999</v>
      </c>
      <c r="I7" s="39">
        <v>-0.32716109999999998</v>
      </c>
      <c r="J7" s="26">
        <v>-0.48290870000000002</v>
      </c>
      <c r="K7" s="48">
        <v>-0.49344599</v>
      </c>
      <c r="M7" s="39">
        <v>8.2179490000000008</v>
      </c>
      <c r="N7" s="39">
        <v>0.39486012999999998</v>
      </c>
      <c r="O7" s="39">
        <v>0.156967</v>
      </c>
      <c r="P7" s="40">
        <v>0.82051280000000004</v>
      </c>
      <c r="Q7" s="40">
        <v>0.2991453</v>
      </c>
      <c r="R7" s="40">
        <v>0.41880339999999999</v>
      </c>
      <c r="S7" s="40">
        <v>0.3162393</v>
      </c>
      <c r="T7" s="39">
        <v>3.7350430000000001</v>
      </c>
      <c r="U7" s="39">
        <v>3.1196579999999998</v>
      </c>
      <c r="V7" s="39">
        <v>21794.87</v>
      </c>
      <c r="W7" s="39">
        <v>2.4358970000000002</v>
      </c>
      <c r="X7" s="36"/>
    </row>
    <row r="8" spans="1:25" s="26" customFormat="1" ht="24" customHeight="1">
      <c r="A8" s="53"/>
      <c r="B8" s="4" t="s">
        <v>37</v>
      </c>
      <c r="C8" s="30">
        <v>0.2422</v>
      </c>
      <c r="D8" s="31">
        <f t="shared" ref="D8:D9" si="0">C8*$D$6</f>
        <v>93.247</v>
      </c>
      <c r="E8" s="37" t="s">
        <v>78</v>
      </c>
      <c r="F8" s="48">
        <v>1.4358040000000001</v>
      </c>
      <c r="G8" s="48">
        <v>-0.31479732999999999</v>
      </c>
      <c r="H8" s="39">
        <v>1.5521449</v>
      </c>
      <c r="I8" s="39">
        <v>-0.43615769999999998</v>
      </c>
      <c r="J8" s="48">
        <v>-0.59155340000000001</v>
      </c>
      <c r="K8" s="26">
        <v>-1.37762239</v>
      </c>
      <c r="M8" s="39">
        <v>5.6978020000000003</v>
      </c>
      <c r="N8" s="39">
        <v>-0.77384269000000006</v>
      </c>
      <c r="O8" s="39">
        <v>0.24290220000000001</v>
      </c>
      <c r="P8" s="40">
        <v>0.6593407</v>
      </c>
      <c r="Q8" s="40">
        <v>0.17582420000000001</v>
      </c>
      <c r="R8" s="40">
        <v>0.3626374</v>
      </c>
      <c r="S8" s="40">
        <v>0.21978020000000001</v>
      </c>
      <c r="T8" s="39">
        <v>2.8351649999999999</v>
      </c>
      <c r="U8" s="39">
        <v>3.461538</v>
      </c>
      <c r="V8" s="39">
        <v>19175.82</v>
      </c>
      <c r="W8" s="39">
        <v>1.659341</v>
      </c>
      <c r="X8" s="36"/>
      <c r="Y8" s="51"/>
    </row>
    <row r="9" spans="1:25" s="26" customFormat="1" ht="24" customHeight="1">
      <c r="A9" s="53"/>
      <c r="B9" s="4" t="s">
        <v>38</v>
      </c>
      <c r="C9" s="30">
        <v>0.4622</v>
      </c>
      <c r="D9" s="31">
        <f t="shared" si="0"/>
        <v>177.947</v>
      </c>
      <c r="E9" s="26" t="s">
        <v>103</v>
      </c>
      <c r="F9" s="26">
        <v>-7.940671</v>
      </c>
      <c r="G9" s="48">
        <v>-5.2299619999999998E-2</v>
      </c>
      <c r="H9" s="49">
        <v>-0.22265760000000001</v>
      </c>
      <c r="I9" s="39">
        <v>-0.30412990000000001</v>
      </c>
      <c r="J9" s="49">
        <v>-0.2394645</v>
      </c>
      <c r="K9" s="49">
        <v>6.4262420000000001E-2</v>
      </c>
      <c r="M9" s="39">
        <v>6.0141239999999998</v>
      </c>
      <c r="N9" s="39">
        <v>3.4750980000000001E-2</v>
      </c>
      <c r="O9" s="39">
        <v>-0.46104410000000001</v>
      </c>
      <c r="P9" s="40">
        <v>0.58757060000000005</v>
      </c>
      <c r="Q9" s="40">
        <v>0.1242938</v>
      </c>
      <c r="R9" s="40">
        <v>0.37853110000000001</v>
      </c>
      <c r="S9" s="40">
        <v>0.38418079999999999</v>
      </c>
      <c r="T9" s="39">
        <v>3.3220339999999999</v>
      </c>
      <c r="U9" s="39">
        <v>3.0677970000000001</v>
      </c>
      <c r="V9" s="39">
        <v>22542.37</v>
      </c>
      <c r="W9" s="39">
        <v>2.3785310000000002</v>
      </c>
      <c r="X9" s="36"/>
      <c r="Y9" s="51"/>
    </row>
    <row r="11" spans="1:25">
      <c r="A11" s="28" t="s">
        <v>76</v>
      </c>
      <c r="D11" s="31">
        <v>463</v>
      </c>
      <c r="N11" s="41"/>
      <c r="O11" s="41"/>
      <c r="P11" s="42"/>
      <c r="Q11" s="42"/>
      <c r="R11" s="42"/>
      <c r="S11" s="42"/>
      <c r="T11" s="43"/>
      <c r="U11" s="43"/>
      <c r="V11" s="43"/>
      <c r="W11" s="3"/>
    </row>
    <row r="12" spans="1:25" ht="17">
      <c r="A12" s="50" t="s">
        <v>77</v>
      </c>
      <c r="B12" s="4" t="s">
        <v>36</v>
      </c>
      <c r="C12" s="33">
        <v>0.25390000000000001</v>
      </c>
      <c r="D12" s="31">
        <f>$D$11*C12</f>
        <v>117.5557</v>
      </c>
      <c r="E12" s="29" t="s">
        <v>102</v>
      </c>
      <c r="F12" s="39">
        <v>-4.9529459999999998</v>
      </c>
      <c r="G12" s="39">
        <v>-0.24239759999999999</v>
      </c>
      <c r="H12" s="26">
        <v>0.89128750000000001</v>
      </c>
      <c r="I12" s="26">
        <v>-0.63431070000000001</v>
      </c>
      <c r="J12" s="26">
        <v>-0.34457719999999997</v>
      </c>
      <c r="K12" s="26">
        <v>-0.28149000000000002</v>
      </c>
      <c r="L12" s="41"/>
      <c r="M12" s="39">
        <v>8.4637309999999992</v>
      </c>
      <c r="N12" s="39">
        <v>0.40352199999999999</v>
      </c>
      <c r="O12" s="39">
        <v>5.6274570000000003E-2</v>
      </c>
      <c r="P12" s="40">
        <v>0.7564767</v>
      </c>
      <c r="Q12" s="40">
        <v>0.2279793</v>
      </c>
      <c r="R12" s="40">
        <v>0.46113989999999999</v>
      </c>
      <c r="S12" s="40">
        <v>0.37305700000000003</v>
      </c>
      <c r="T12" s="39">
        <v>3.5751300000000001</v>
      </c>
      <c r="U12" s="39">
        <v>3.15544</v>
      </c>
      <c r="V12" s="39">
        <v>28860.1</v>
      </c>
      <c r="W12" s="39">
        <v>2.4404149999999998</v>
      </c>
    </row>
    <row r="13" spans="1:25" ht="17">
      <c r="A13" s="50"/>
      <c r="B13" s="4" t="s">
        <v>37</v>
      </c>
      <c r="C13" s="33">
        <v>0.36349999999999999</v>
      </c>
      <c r="D13" s="31">
        <f t="shared" ref="D13:D14" si="1">$D$11*C13</f>
        <v>168.3005</v>
      </c>
      <c r="E13" s="37" t="s">
        <v>78</v>
      </c>
      <c r="F13" s="48">
        <v>-1.249835</v>
      </c>
      <c r="G13" s="26">
        <v>-0.46152549999999998</v>
      </c>
      <c r="H13" s="26">
        <v>0.69025060000000005</v>
      </c>
      <c r="I13" s="26">
        <v>-0.41162399999999999</v>
      </c>
      <c r="J13" s="26">
        <v>-0.60337819999999998</v>
      </c>
      <c r="K13" s="26">
        <v>-0.85088699999999995</v>
      </c>
      <c r="L13" s="41"/>
      <c r="M13" s="39">
        <v>8.1869569999999996</v>
      </c>
      <c r="N13" s="39">
        <v>-0.61912016999999997</v>
      </c>
      <c r="O13" s="39">
        <v>0.43055870000000002</v>
      </c>
      <c r="P13" s="40">
        <v>0.65217389999999997</v>
      </c>
      <c r="Q13" s="40">
        <v>0.13913039999999999</v>
      </c>
      <c r="R13" s="40">
        <v>0.3565217</v>
      </c>
      <c r="S13" s="40">
        <v>0.26086959999999998</v>
      </c>
      <c r="T13" s="39">
        <v>3.1652170000000002</v>
      </c>
      <c r="U13" s="39">
        <v>3.6956519999999999</v>
      </c>
      <c r="V13" s="39">
        <v>26130.43</v>
      </c>
      <c r="W13" s="39">
        <v>1.6086959999999999</v>
      </c>
      <c r="X13" s="14"/>
    </row>
    <row r="14" spans="1:25" ht="17">
      <c r="A14" s="50"/>
      <c r="B14" s="4" t="s">
        <v>38</v>
      </c>
      <c r="C14" s="33">
        <v>0.3826</v>
      </c>
      <c r="D14" s="31">
        <f t="shared" si="1"/>
        <v>177.1438</v>
      </c>
      <c r="E14" s="26" t="s">
        <v>103</v>
      </c>
      <c r="F14" s="26">
        <v>-9.2812099999999997</v>
      </c>
      <c r="G14" s="48">
        <v>-0.20175299999999999</v>
      </c>
      <c r="H14" s="48">
        <v>0.4240931</v>
      </c>
      <c r="I14" s="26">
        <v>-0.20553950000000001</v>
      </c>
      <c r="J14" s="26">
        <v>-0.86889289999999997</v>
      </c>
      <c r="K14" s="26">
        <v>-0.8099537</v>
      </c>
      <c r="M14" s="39">
        <v>7.0806449999999996</v>
      </c>
      <c r="N14" s="39">
        <v>4.8033859999999998E-2</v>
      </c>
      <c r="O14" s="39">
        <v>-0.21929004999999999</v>
      </c>
      <c r="P14" s="40">
        <v>0.63870970000000005</v>
      </c>
      <c r="Q14" s="40">
        <v>0.2451613</v>
      </c>
      <c r="R14" s="40">
        <v>0.40645160000000002</v>
      </c>
      <c r="S14" s="40">
        <v>0.27741939999999998</v>
      </c>
      <c r="T14" s="39">
        <v>3.2012990000000001</v>
      </c>
      <c r="U14" s="39">
        <v>3.077922</v>
      </c>
      <c r="V14" s="39">
        <v>27677.42</v>
      </c>
      <c r="W14" s="39">
        <v>2.3806449999999999</v>
      </c>
      <c r="X14" s="14"/>
    </row>
    <row r="15" spans="1:25">
      <c r="F15" s="26"/>
      <c r="G15" s="26"/>
      <c r="H15" s="44"/>
      <c r="I15" s="26"/>
      <c r="J15" s="26"/>
      <c r="K15" s="26"/>
      <c r="M15" s="14"/>
      <c r="N15" s="14"/>
      <c r="O15" s="14"/>
      <c r="P15" s="5"/>
      <c r="Q15" s="5"/>
      <c r="R15" s="5"/>
      <c r="S15" s="5"/>
      <c r="T15" s="4"/>
      <c r="U15" s="4"/>
      <c r="V15" s="4"/>
      <c r="X15" s="14"/>
      <c r="Y15" s="14"/>
    </row>
    <row r="16" spans="1:25">
      <c r="H16" s="45"/>
      <c r="M16" s="14"/>
      <c r="N16" s="14"/>
      <c r="O16" s="14"/>
      <c r="P16" s="5"/>
      <c r="Q16" s="5"/>
      <c r="R16" s="5"/>
      <c r="S16" s="5"/>
      <c r="T16" s="4"/>
      <c r="U16" s="4"/>
      <c r="V16" s="4"/>
      <c r="X16" s="14"/>
      <c r="Y16" s="14"/>
    </row>
    <row r="17" spans="5:25" ht="34">
      <c r="E17" s="4" t="s">
        <v>100</v>
      </c>
      <c r="H17" s="45"/>
      <c r="I17" s="46"/>
      <c r="J17" s="46"/>
      <c r="K17" s="38"/>
      <c r="L17" s="38"/>
      <c r="M17" s="46"/>
      <c r="N17" s="46"/>
      <c r="O17" s="46"/>
      <c r="P17" s="47"/>
      <c r="Q17" s="47"/>
      <c r="R17" s="47"/>
      <c r="S17" s="47"/>
      <c r="T17" s="38"/>
      <c r="U17" s="38"/>
      <c r="V17" s="38"/>
      <c r="W17" s="38"/>
      <c r="X17" s="46"/>
      <c r="Y17" s="14"/>
    </row>
    <row r="18" spans="5:25" ht="51">
      <c r="E18" s="4" t="s">
        <v>101</v>
      </c>
      <c r="F18" s="26">
        <f>F7*10</f>
        <v>-21.306720000000002</v>
      </c>
      <c r="G18" s="26">
        <f t="shared" ref="G18:K18" si="2">G7*10</f>
        <v>-1.5268522</v>
      </c>
      <c r="H18" s="26">
        <f t="shared" si="2"/>
        <v>18.632242999999999</v>
      </c>
      <c r="I18" s="26">
        <f t="shared" si="2"/>
        <v>-3.271611</v>
      </c>
      <c r="J18" s="26">
        <f t="shared" si="2"/>
        <v>-4.8290870000000004</v>
      </c>
      <c r="K18" s="26">
        <f t="shared" si="2"/>
        <v>-4.9344599000000002</v>
      </c>
      <c r="L18" s="38"/>
      <c r="M18" s="46"/>
      <c r="N18" s="46"/>
      <c r="O18" s="46"/>
      <c r="P18" s="47"/>
      <c r="Q18" s="47"/>
      <c r="R18" s="47"/>
      <c r="S18" s="47"/>
      <c r="T18" s="38"/>
      <c r="U18" s="38"/>
      <c r="V18" s="38"/>
      <c r="W18" s="38"/>
      <c r="X18" s="46"/>
      <c r="Y18" s="14"/>
    </row>
    <row r="19" spans="5:25">
      <c r="E19" s="29"/>
      <c r="F19" s="26">
        <f t="shared" ref="F19:K19" si="3">F8*10</f>
        <v>14.358040000000001</v>
      </c>
      <c r="G19" s="26">
        <f t="shared" si="3"/>
        <v>-3.1479732999999999</v>
      </c>
      <c r="H19" s="26">
        <f t="shared" si="3"/>
        <v>15.521449</v>
      </c>
      <c r="I19" s="26">
        <f t="shared" si="3"/>
        <v>-4.3615769999999996</v>
      </c>
      <c r="J19" s="26">
        <f t="shared" si="3"/>
        <v>-5.9155340000000001</v>
      </c>
      <c r="K19" s="26">
        <f t="shared" si="3"/>
        <v>-13.7762239</v>
      </c>
      <c r="L19" s="46"/>
      <c r="M19" s="46"/>
      <c r="N19" s="46"/>
      <c r="O19" s="46"/>
      <c r="P19" s="47"/>
      <c r="Q19" s="47"/>
      <c r="R19" s="40"/>
      <c r="S19" s="40"/>
      <c r="T19" s="39"/>
      <c r="Y19" s="14"/>
    </row>
    <row r="20" spans="5:25" ht="51">
      <c r="E20" s="4" t="s">
        <v>98</v>
      </c>
      <c r="F20" s="26">
        <f t="shared" ref="F20:K20" si="4">F9*10</f>
        <v>-79.406710000000004</v>
      </c>
      <c r="G20" s="26">
        <f t="shared" si="4"/>
        <v>-0.52299620000000002</v>
      </c>
      <c r="H20" s="26">
        <f t="shared" si="4"/>
        <v>-2.2265760000000001</v>
      </c>
      <c r="I20" s="26">
        <f t="shared" si="4"/>
        <v>-3.041299</v>
      </c>
      <c r="J20" s="26">
        <f t="shared" si="4"/>
        <v>-2.3946450000000001</v>
      </c>
      <c r="K20" s="26">
        <f t="shared" si="4"/>
        <v>0.64262419999999998</v>
      </c>
      <c r="L20" s="46"/>
      <c r="M20" s="46"/>
      <c r="N20" s="46"/>
      <c r="O20" s="46"/>
      <c r="P20" s="47"/>
      <c r="Q20" s="47"/>
      <c r="R20" s="47"/>
      <c r="S20" s="47"/>
      <c r="T20" s="38"/>
      <c r="U20" s="38"/>
      <c r="V20" s="38"/>
      <c r="W20" s="38"/>
      <c r="X20" s="46"/>
      <c r="Y20" s="46"/>
    </row>
    <row r="21" spans="5:25" ht="51">
      <c r="E21" s="4" t="s">
        <v>99</v>
      </c>
      <c r="F21" s="26">
        <f t="shared" ref="F21:K21" si="5">F10*10</f>
        <v>0</v>
      </c>
      <c r="G21" s="26">
        <f t="shared" si="5"/>
        <v>0</v>
      </c>
      <c r="H21" s="26">
        <f t="shared" si="5"/>
        <v>0</v>
      </c>
      <c r="I21" s="26">
        <f t="shared" si="5"/>
        <v>0</v>
      </c>
      <c r="J21" s="26">
        <f t="shared" si="5"/>
        <v>0</v>
      </c>
      <c r="K21" s="26">
        <f t="shared" si="5"/>
        <v>0</v>
      </c>
      <c r="M21" s="46"/>
      <c r="N21" s="46"/>
      <c r="O21" s="46"/>
      <c r="P21" s="47"/>
      <c r="Q21" s="47"/>
      <c r="R21" s="47"/>
      <c r="S21" s="47"/>
      <c r="T21" s="38"/>
      <c r="U21" s="38"/>
      <c r="V21" s="38"/>
      <c r="W21" s="38"/>
      <c r="X21" s="46"/>
      <c r="Y21" s="46"/>
    </row>
    <row r="22" spans="5:25" ht="34">
      <c r="E22" s="4" t="s">
        <v>100</v>
      </c>
      <c r="F22" s="26">
        <f t="shared" ref="F22:K22" si="6">F11*10</f>
        <v>0</v>
      </c>
      <c r="G22" s="26">
        <f t="shared" si="6"/>
        <v>0</v>
      </c>
      <c r="H22" s="26">
        <f t="shared" si="6"/>
        <v>0</v>
      </c>
      <c r="I22" s="26">
        <f t="shared" si="6"/>
        <v>0</v>
      </c>
      <c r="J22" s="26">
        <f t="shared" si="6"/>
        <v>0</v>
      </c>
      <c r="K22" s="26">
        <f t="shared" si="6"/>
        <v>0</v>
      </c>
      <c r="M22" s="14"/>
      <c r="N22" s="14"/>
    </row>
    <row r="23" spans="5:25">
      <c r="F23" s="26">
        <f t="shared" ref="F23:K23" si="7">F12*10</f>
        <v>-49.52946</v>
      </c>
      <c r="G23" s="26">
        <f t="shared" si="7"/>
        <v>-2.4239759999999997</v>
      </c>
      <c r="H23" s="26">
        <f t="shared" si="7"/>
        <v>8.9128749999999997</v>
      </c>
      <c r="I23" s="26">
        <f t="shared" si="7"/>
        <v>-6.3431069999999998</v>
      </c>
      <c r="J23" s="26">
        <f t="shared" si="7"/>
        <v>-3.4457719999999998</v>
      </c>
      <c r="K23" s="26">
        <f t="shared" si="7"/>
        <v>-2.8149000000000002</v>
      </c>
      <c r="M23" s="14"/>
      <c r="N23" s="14"/>
    </row>
    <row r="24" spans="5:25">
      <c r="F24" s="26">
        <f>F13*10</f>
        <v>-12.49835</v>
      </c>
      <c r="G24" s="26">
        <f t="shared" ref="G24:K24" si="8">G13*10</f>
        <v>-4.6152549999999994</v>
      </c>
      <c r="H24" s="26">
        <f t="shared" si="8"/>
        <v>6.9025060000000007</v>
      </c>
      <c r="I24" s="26">
        <f t="shared" si="8"/>
        <v>-4.1162399999999995</v>
      </c>
      <c r="J24" s="26">
        <f t="shared" si="8"/>
        <v>-6.0337819999999995</v>
      </c>
      <c r="K24" s="26">
        <f t="shared" si="8"/>
        <v>-8.5088699999999999</v>
      </c>
      <c r="M24" s="14"/>
      <c r="N24" s="14"/>
    </row>
    <row r="25" spans="5:25">
      <c r="F25" s="26">
        <f t="shared" ref="F25:K25" si="9">F14*10</f>
        <v>-92.812100000000001</v>
      </c>
      <c r="G25" s="26">
        <f t="shared" si="9"/>
        <v>-2.0175299999999998</v>
      </c>
      <c r="H25" s="26">
        <f t="shared" si="9"/>
        <v>4.2409309999999998</v>
      </c>
      <c r="I25" s="26">
        <f t="shared" si="9"/>
        <v>-2.0553950000000003</v>
      </c>
      <c r="J25" s="26">
        <f t="shared" si="9"/>
        <v>-8.6889289999999999</v>
      </c>
      <c r="K25" s="26">
        <f t="shared" si="9"/>
        <v>-8.0995369999999998</v>
      </c>
      <c r="M25" s="14"/>
      <c r="N25" s="14"/>
      <c r="O25" s="14"/>
      <c r="P25" s="40"/>
      <c r="Q25" s="40"/>
      <c r="R25" s="40"/>
      <c r="S25" s="40"/>
      <c r="T25" s="39"/>
      <c r="U25" s="39"/>
      <c r="V25" s="39"/>
      <c r="W25" s="39"/>
      <c r="X25" s="14"/>
      <c r="Y25" s="14"/>
    </row>
    <row r="26" spans="5:25">
      <c r="F26" s="26">
        <f t="shared" ref="F26:K26" si="10">F15*10</f>
        <v>0</v>
      </c>
      <c r="G26" s="26">
        <f t="shared" si="10"/>
        <v>0</v>
      </c>
      <c r="H26" s="26">
        <f t="shared" si="10"/>
        <v>0</v>
      </c>
      <c r="I26" s="26">
        <f t="shared" si="10"/>
        <v>0</v>
      </c>
      <c r="J26" s="26">
        <f t="shared" si="10"/>
        <v>0</v>
      </c>
      <c r="K26" s="26">
        <f t="shared" si="10"/>
        <v>0</v>
      </c>
    </row>
    <row r="27" spans="5:25">
      <c r="F27" s="26">
        <f t="shared" ref="F27:K27" si="11">F16*10</f>
        <v>0</v>
      </c>
      <c r="G27" s="26">
        <f t="shared" si="11"/>
        <v>0</v>
      </c>
      <c r="H27" s="26">
        <f t="shared" si="11"/>
        <v>0</v>
      </c>
      <c r="I27" s="26">
        <f t="shared" si="11"/>
        <v>0</v>
      </c>
      <c r="J27" s="26">
        <f t="shared" si="11"/>
        <v>0</v>
      </c>
      <c r="K27" s="26">
        <f t="shared" si="11"/>
        <v>0</v>
      </c>
    </row>
  </sheetData>
  <mergeCells count="5">
    <mergeCell ref="A12:A14"/>
    <mergeCell ref="Y8:Y9"/>
    <mergeCell ref="F1:K1"/>
    <mergeCell ref="A7:A9"/>
    <mergeCell ref="M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41B1-EEA4-9644-98C8-8514E386A931}">
  <dimension ref="A1:C7"/>
  <sheetViews>
    <sheetView zoomScale="162" workbookViewId="0">
      <selection sqref="A1:XFD1048576"/>
    </sheetView>
  </sheetViews>
  <sheetFormatPr baseColWidth="10" defaultRowHeight="15"/>
  <cols>
    <col min="1" max="1" width="87.33203125" customWidth="1"/>
  </cols>
  <sheetData>
    <row r="1" spans="1:3" ht="34">
      <c r="B1" s="4" t="s">
        <v>28</v>
      </c>
      <c r="C1" s="4" t="s">
        <v>29</v>
      </c>
    </row>
    <row r="2" spans="1:3" ht="16">
      <c r="A2" s="8" t="s">
        <v>39</v>
      </c>
      <c r="B2">
        <v>0.61</v>
      </c>
    </row>
    <row r="3" spans="1:3" ht="16">
      <c r="A3" s="8" t="s">
        <v>40</v>
      </c>
      <c r="B3">
        <v>0.93</v>
      </c>
    </row>
    <row r="4" spans="1:3" ht="16">
      <c r="A4" s="8" t="s">
        <v>41</v>
      </c>
      <c r="B4">
        <v>0.77</v>
      </c>
    </row>
    <row r="5" spans="1:3" ht="16">
      <c r="A5" s="8" t="s">
        <v>42</v>
      </c>
      <c r="C5">
        <v>0.68</v>
      </c>
    </row>
    <row r="6" spans="1:3" ht="16">
      <c r="A6" s="8" t="s">
        <v>43</v>
      </c>
      <c r="C6">
        <v>0.55000000000000004</v>
      </c>
    </row>
    <row r="7" spans="1:3" ht="16">
      <c r="A7" s="8" t="s">
        <v>44</v>
      </c>
      <c r="C7">
        <v>0.66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coef_fit</vt:lpstr>
      <vt:lpstr>WTP</vt:lpstr>
      <vt:lpstr>Factor_analysis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Iogansen, Xiatian (Assoc)</cp:lastModifiedBy>
  <dcterms:created xsi:type="dcterms:W3CDTF">2025-11-13T21:25:14Z</dcterms:created>
  <dcterms:modified xsi:type="dcterms:W3CDTF">2026-03-23T02:12:08Z</dcterms:modified>
</cp:coreProperties>
</file>