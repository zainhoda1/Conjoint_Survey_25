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nw17/Documents/GitHub/Conjoint_Survey_25/code/output/"/>
    </mc:Choice>
  </mc:AlternateContent>
  <xr:revisionPtr revIDLastSave="0" documentId="13_ncr:1_{CF5D7D16-0026-7B4A-B494-7677CE081B97}" xr6:coauthVersionLast="47" xr6:coauthVersionMax="47" xr10:uidLastSave="{00000000-0000-0000-0000-000000000000}"/>
  <bookViews>
    <workbookView xWindow="4100" yWindow="9820" windowWidth="25880" windowHeight="15020" activeTab="6" xr2:uid="{A9909137-D575-224B-A76F-FCE69DCC6739}"/>
  </bookViews>
  <sheets>
    <sheet name="logitr_MNL (Preference)" sheetId="4" r:id="rId1"/>
    <sheet name="Apollo_MNL (Preference)" sheetId="9" r:id="rId2"/>
    <sheet name="MNL (WTP space)" sheetId="1" r:id="rId3"/>
    <sheet name="MNL WTP compare" sheetId="5" r:id="rId4"/>
    <sheet name="MXL (WTP space)_lessSD" sheetId="2" r:id="rId5"/>
    <sheet name="MXL (WTP space)" sheetId="6" r:id="rId6"/>
    <sheet name="Sheet1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10" l="1"/>
  <c r="C53" i="10"/>
  <c r="C51" i="10"/>
  <c r="C39" i="10"/>
  <c r="C40" i="10"/>
  <c r="C41" i="10"/>
  <c r="C42" i="10"/>
  <c r="C43" i="10"/>
  <c r="C44" i="10"/>
  <c r="C45" i="10"/>
  <c r="C38" i="10"/>
  <c r="C31" i="10"/>
  <c r="C32" i="10"/>
  <c r="C33" i="10"/>
  <c r="C34" i="10"/>
  <c r="C35" i="10"/>
  <c r="C36" i="10"/>
  <c r="C30" i="10"/>
  <c r="C24" i="10"/>
  <c r="C25" i="10"/>
  <c r="C26" i="10"/>
  <c r="C27" i="10"/>
  <c r="C28" i="10"/>
  <c r="C23" i="10"/>
  <c r="C6" i="10"/>
  <c r="C5" i="10"/>
  <c r="C18" i="10"/>
  <c r="C19" i="10"/>
  <c r="C20" i="10"/>
  <c r="C21" i="10"/>
  <c r="C17" i="10"/>
  <c r="C10" i="10"/>
  <c r="C9" i="10"/>
  <c r="C8" i="10"/>
  <c r="C13" i="10"/>
  <c r="C14" i="10"/>
  <c r="C15" i="10"/>
  <c r="C12" i="10"/>
  <c r="D4" i="5"/>
  <c r="D5" i="5"/>
  <c r="D6" i="5"/>
  <c r="D7" i="5"/>
  <c r="D8" i="5"/>
  <c r="D3" i="5"/>
  <c r="C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tc={18C140C0-C6F8-074A-91CD-75BB99D0379D}</author>
  </authors>
  <commentList>
    <comment ref="B10" authorId="0" shapeId="0" xr:uid="{18C140C0-C6F8-074A-91CD-75BB99D0379D}">
      <text>
        <t>[Threaded comment]
Your version of Excel allows you to read this threaded comment; however, any edits to it will get removed if the file is opened in a newer version of Excel. Learn more: https://go.microsoft.com/fwlink/?linkid=870924
Comment:
    I read somewhere saying the sign of SD in MXL is arbitrary, and we can ignore it?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tc={EAFB9D0D-C11B-4048-B7CC-114E2D3A5FE7}</author>
    <author>tc={20A15F17-6EEF-AA45-A750-8106A8D99E81}</author>
  </authors>
  <commentList>
    <comment ref="B7" authorId="0" shapeId="0" xr:uid="{EAFB9D0D-C11B-4048-B7CC-114E2D3A5FE7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assuming normal distribution significantly change the coefficients.</t>
      </text>
    </comment>
    <comment ref="B10" authorId="1" shapeId="0" xr:uid="{20A15F17-6EEF-AA45-A750-8106A8D99E81}">
      <text>
        <t>[Threaded comment]
Your version of Excel allows you to read this threaded comment; however, any edits to it will get removed if the file is opened in a newer version of Excel. Learn more: https://go.microsoft.com/fwlink/?linkid=870924
Comment:
    I read somewhere saying the sign of SD in MXL is arbitrary, and we can ignore it?</t>
      </text>
    </comment>
  </commentList>
</comments>
</file>

<file path=xl/sharedStrings.xml><?xml version="1.0" encoding="utf-8"?>
<sst xmlns="http://schemas.openxmlformats.org/spreadsheetml/2006/main" count="294" uniqueCount="152">
  <si>
    <t>pref</t>
  </si>
  <si>
    <t>wtp</t>
  </si>
  <si>
    <t>scalePar</t>
  </si>
  <si>
    <t>veh_mileage</t>
  </si>
  <si>
    <t>battery_range_year0</t>
  </si>
  <si>
    <t>battery_degradation</t>
  </si>
  <si>
    <t>battery_refurbishpackreplace</t>
  </si>
  <si>
    <t>battery_refurbishcellreplace</t>
  </si>
  <si>
    <t>no_choice</t>
  </si>
  <si>
    <t>logLik</t>
  </si>
  <si>
    <t xml:space="preserve">Model Coefficients: </t>
  </si>
  <si>
    <t>---</t>
  </si>
  <si>
    <t>Signif. codes:  0 ‘***’ 0.001 ‘**’ 0.01 ‘*’ 0.05 ‘.’ 0.1 ‘ ’ 1</t>
  </si>
  <si>
    <t xml:space="preserve">                                     </t>
  </si>
  <si>
    <t>Null Log-Likelihood:    -3102.5267802</t>
  </si>
  <si>
    <t>BIC:                     5471.4841000</t>
  </si>
  <si>
    <t>McFadden R2:                0.1269228</t>
  </si>
  <si>
    <t>Adj McFadden R2:            0.1246666</t>
  </si>
  <si>
    <t>Number of Observations:  2238.0000000</t>
  </si>
  <si>
    <t>Estimate</t>
  </si>
  <si>
    <t>Std. Error</t>
  </si>
  <si>
    <t>z-value</t>
  </si>
  <si>
    <t>Pr(&gt;|z|)</t>
  </si>
  <si>
    <t>***</t>
  </si>
  <si>
    <t>veh_price</t>
  </si>
  <si>
    <t>&lt; 2.2e-16</t>
  </si>
  <si>
    <t>McFadden R2:                0.1315179</t>
  </si>
  <si>
    <t>Adj McFadden R2:            0.1286170</t>
  </si>
  <si>
    <t>battery_range_year0 -Inf -0.5499640  0.7798919  0.7786966  2.1093255  Inf</t>
  </si>
  <si>
    <t>battery_degradation -Inf -0.9210807 -0.5463279 -0.5467297 -0.1714698  Inf</t>
  </si>
  <si>
    <t>Log-Likelihood:         -2708.7453819</t>
  </si>
  <si>
    <t>AIC:                     5431.4907638</t>
  </si>
  <si>
    <t>sd_battery_range_year0</t>
  </si>
  <si>
    <t>sd_battery_degradation</t>
  </si>
  <si>
    <t>Interpretation</t>
  </si>
  <si>
    <t>----</t>
  </si>
  <si>
    <t>Negative utility of opting out </t>
  </si>
  <si>
    <r>
      <t xml:space="preserve">Respondents are willing to pay </t>
    </r>
    <r>
      <rPr>
        <b/>
        <sz val="12"/>
        <color rgb="FFC00000"/>
        <rFont val="Aptos Narrow"/>
        <scheme val="minor"/>
      </rPr>
      <t>$3,506 less</t>
    </r>
    <r>
      <rPr>
        <sz val="12"/>
        <color rgb="FFC00000"/>
        <rFont val="Aptos Narrow"/>
        <scheme val="minor"/>
      </rPr>
      <t xml:space="preserve"> (0.3506 × $10,000) for each additional 10,000 miles on the odometer.</t>
    </r>
  </si>
  <si>
    <r>
      <t xml:space="preserve">Respondents are willing to pay </t>
    </r>
    <r>
      <rPr>
        <b/>
        <sz val="12"/>
        <color rgb="FFC00000"/>
        <rFont val="Aptos Narrow"/>
        <scheme val="minor"/>
      </rPr>
      <t>$7,805 more</t>
    </r>
    <r>
      <rPr>
        <sz val="12"/>
        <color rgb="FFC00000"/>
        <rFont val="Aptos Narrow"/>
        <scheme val="minor"/>
      </rPr>
      <t xml:space="preserve"> for each additional 100 miles of battery range.</t>
    </r>
  </si>
  <si>
    <r>
      <t xml:space="preserve">Respondents are willing to pay </t>
    </r>
    <r>
      <rPr>
        <b/>
        <sz val="12"/>
        <color rgb="FFC00000"/>
        <rFont val="Aptos Narrow"/>
        <scheme val="minor"/>
      </rPr>
      <t>$5,459 less</t>
    </r>
    <r>
      <rPr>
        <sz val="12"/>
        <color rgb="FFC00000"/>
        <rFont val="Aptos Narrow"/>
        <scheme val="minor"/>
      </rPr>
      <t xml:space="preserve"> for each 1% increase in battery degradation.</t>
    </r>
  </si>
  <si>
    <r>
      <t xml:space="preserve">Respondents would pay </t>
    </r>
    <r>
      <rPr>
        <b/>
        <sz val="12"/>
        <color rgb="FFC00000"/>
        <rFont val="Aptos Narrow"/>
        <scheme val="minor"/>
      </rPr>
      <t>$5,215 less</t>
    </r>
    <r>
      <rPr>
        <sz val="12"/>
        <color rgb="FFC00000"/>
        <rFont val="Aptos Narrow"/>
        <scheme val="minor"/>
      </rPr>
      <t xml:space="preserve"> for a refurbished pack replacement (vs new battery).</t>
    </r>
  </si>
  <si>
    <r>
      <t xml:space="preserve">Respondents would pay </t>
    </r>
    <r>
      <rPr>
        <b/>
        <sz val="12"/>
        <color rgb="FFC00000"/>
        <rFont val="Aptos Narrow"/>
        <scheme val="minor"/>
      </rPr>
      <t>$7,113 less</t>
    </r>
    <r>
      <rPr>
        <sz val="12"/>
        <color rgb="FFC00000"/>
        <rFont val="Aptos Narrow"/>
        <scheme val="minor"/>
      </rPr>
      <t xml:space="preserve"> for a refurbished cell replacement (vs new battery).</t>
    </r>
  </si>
  <si>
    <t>Log-Likelihood:         -2693.0357838</t>
  </si>
  <si>
    <t>AIC:                     5410.0715675</t>
  </si>
  <si>
    <t>BIC:                     5478.6316000</t>
  </si>
  <si>
    <t>McFadden R2:                0.1319863</t>
  </si>
  <si>
    <t>Adj McFadden R2:            0.1281185</t>
  </si>
  <si>
    <t>**</t>
  </si>
  <si>
    <t>sd_veh_mileage</t>
  </si>
  <si>
    <t>sd_battery_refurbishpackreplace</t>
  </si>
  <si>
    <t>sd_battery_refurbishcellreplace</t>
  </si>
  <si>
    <r>
      <rPr>
        <b/>
        <sz val="12"/>
        <color rgb="FFC00000"/>
        <rFont val="Aptos Narrow"/>
        <scheme val="minor"/>
      </rPr>
      <t xml:space="preserve">Moderate heterogeneity: </t>
    </r>
    <r>
      <rPr>
        <sz val="12"/>
        <color rgb="FFC00000"/>
        <rFont val="Aptos Narrow"/>
        <scheme val="minor"/>
      </rPr>
      <t>Some consumers are extremely sensitive to degradation (discounting $10,959 per 1%), while others show little concern (near-zero WTP effect). (even slightly positive?? --&gt; need more data cleaning?)</t>
    </r>
  </si>
  <si>
    <r>
      <rPr>
        <b/>
        <sz val="12"/>
        <color rgb="FFC00000"/>
        <rFont val="Aptos Narrow"/>
        <scheme val="minor"/>
      </rPr>
      <t xml:space="preserve">Substantial heterogeneity: </t>
    </r>
    <r>
      <rPr>
        <sz val="12"/>
        <color rgb="FFC00000"/>
        <rFont val="Aptos Narrow"/>
        <scheme val="minor"/>
      </rPr>
      <t>Many respondents value additional range more (up to $7,805 + $19,716), while some may value it less (even slightly negative?? --&gt; need more data cleaning?).</t>
    </r>
  </si>
  <si>
    <t>Log-Likelihood:         -2694.4890975</t>
  </si>
  <si>
    <t>AIC:                     5406.9781950</t>
  </si>
  <si>
    <t>BIC:                     5458.3982000</t>
  </si>
  <si>
    <r>
      <t xml:space="preserve">Respondents are willing to pay </t>
    </r>
    <r>
      <rPr>
        <b/>
        <sz val="12"/>
        <color rgb="FFC00000"/>
        <rFont val="Aptos Narrow"/>
        <scheme val="minor"/>
      </rPr>
      <t>$3,507 less</t>
    </r>
    <r>
      <rPr>
        <sz val="12"/>
        <color rgb="FFC00000"/>
        <rFont val="Aptos Narrow"/>
        <scheme val="minor"/>
      </rPr>
      <t xml:space="preserve"> (0.3507 × $10,000) for each additional 10,000 miles on the odometer.</t>
    </r>
  </si>
  <si>
    <r>
      <t xml:space="preserve">Respondents are willing to pay </t>
    </r>
    <r>
      <rPr>
        <b/>
        <sz val="12"/>
        <color rgb="FFC00000"/>
        <rFont val="Aptos Narrow"/>
        <scheme val="minor"/>
      </rPr>
      <t>$7,808 more</t>
    </r>
    <r>
      <rPr>
        <sz val="12"/>
        <color rgb="FFC00000"/>
        <rFont val="Aptos Narrow"/>
        <scheme val="minor"/>
      </rPr>
      <t xml:space="preserve"> for each additional 100 miles of battery range.</t>
    </r>
  </si>
  <si>
    <r>
      <t xml:space="preserve">Respondents are willing to pay </t>
    </r>
    <r>
      <rPr>
        <b/>
        <sz val="12"/>
        <color rgb="FFC00000"/>
        <rFont val="Aptos Narrow"/>
        <scheme val="minor"/>
      </rPr>
      <t>$5,460 less</t>
    </r>
    <r>
      <rPr>
        <sz val="12"/>
        <color rgb="FFC00000"/>
        <rFont val="Aptos Narrow"/>
        <scheme val="minor"/>
      </rPr>
      <t xml:space="preserve"> for each 1% increase in battery degradation.</t>
    </r>
  </si>
  <si>
    <r>
      <t xml:space="preserve">Respondents would pay </t>
    </r>
    <r>
      <rPr>
        <b/>
        <sz val="12"/>
        <color rgb="FFC00000"/>
        <rFont val="Aptos Narrow"/>
        <scheme val="minor"/>
      </rPr>
      <t>$5,213 less</t>
    </r>
    <r>
      <rPr>
        <sz val="12"/>
        <color rgb="FFC00000"/>
        <rFont val="Aptos Narrow"/>
        <scheme val="minor"/>
      </rPr>
      <t xml:space="preserve"> for a refurbished pack replacement (vs new battery).</t>
    </r>
  </si>
  <si>
    <r>
      <t xml:space="preserve">Respondents would pay </t>
    </r>
    <r>
      <rPr>
        <b/>
        <sz val="12"/>
        <color rgb="FFC00000"/>
        <rFont val="Aptos Narrow"/>
        <scheme val="minor"/>
      </rPr>
      <t>$7,114 less</t>
    </r>
    <r>
      <rPr>
        <sz val="12"/>
        <color rgb="FFC00000"/>
        <rFont val="Aptos Narrow"/>
        <scheme val="minor"/>
      </rPr>
      <t xml:space="preserve"> for a refurbished cell replacement (vs new battery).</t>
    </r>
  </si>
  <si>
    <r>
      <rPr>
        <b/>
        <sz val="12"/>
        <color rgb="FFC00000"/>
        <rFont val="Aptos Narrow"/>
        <scheme val="minor"/>
      </rPr>
      <t xml:space="preserve">Substantial heterogeneity: </t>
    </r>
    <r>
      <rPr>
        <sz val="12"/>
        <color rgb="FFC00000"/>
        <rFont val="Aptos Narrow"/>
        <scheme val="minor"/>
      </rPr>
      <t>Many respondents value additional range more (up to $7,808 + $19,714), while some may value it less (even slightly negative?? --&gt; need more data cleaning?).</t>
    </r>
  </si>
  <si>
    <r>
      <t>Most respondents h</t>
    </r>
    <r>
      <rPr>
        <sz val="12"/>
        <color rgb="FFC00000"/>
        <rFont val="Aptos Narrow (Body)"/>
      </rPr>
      <t xml:space="preserve">ave </t>
    </r>
    <r>
      <rPr>
        <b/>
        <sz val="12"/>
        <color rgb="FFC00000"/>
        <rFont val="Aptos Narrow (Body)"/>
      </rPr>
      <t>negative preferences</t>
    </r>
    <r>
      <rPr>
        <sz val="12"/>
        <color rgb="FFC00000"/>
        <rFont val="Aptos Narrow (Body)"/>
      </rPr>
      <t> (68% of respondents fall between –$6,300 and –$1,100 )</t>
    </r>
  </si>
  <si>
    <t>Substantial heterogeneity: while the average dislike is −0.72, a sizeable minority of respondents will have positive coefficients (i.e., they would prefer or be indifferent to refurbished pack replacement).</t>
  </si>
  <si>
    <t>most respondents consistently dislike the refurbished cell replace option; very few will have a positive coefficient.</t>
  </si>
  <si>
    <t>Estimates:</t>
  </si>
  <si>
    <t>s.e.</t>
  </si>
  <si>
    <t>t.rat.(0)</t>
  </si>
  <si>
    <t>p(1-sided)</t>
  </si>
  <si>
    <t>Rob.s.e.</t>
  </si>
  <si>
    <t>Rob.t.rat.(0)</t>
  </si>
  <si>
    <t>b_mileage</t>
  </si>
  <si>
    <t>b_range_year0</t>
  </si>
  <si>
    <t>b_degradation</t>
  </si>
  <si>
    <t>b_packreplace</t>
  </si>
  <si>
    <t>b_cellreplace</t>
  </si>
  <si>
    <t>asc_no_choice</t>
  </si>
  <si>
    <t>b_price</t>
  </si>
  <si>
    <t>Model without mixing</t>
  </si>
  <si>
    <t xml:space="preserve">Model name                                  </t>
  </si>
  <si>
    <t xml:space="preserve"> MNL_DCE_preference_space</t>
  </si>
  <si>
    <t xml:space="preserve">Model description                           </t>
  </si>
  <si>
    <t xml:space="preserve"> MNL model in preference-space</t>
  </si>
  <si>
    <t xml:space="preserve">Model run at                                </t>
  </si>
  <si>
    <t xml:space="preserve"> 2025-11-03 17</t>
  </si>
  <si>
    <t xml:space="preserve">Estimation method                           </t>
  </si>
  <si>
    <t xml:space="preserve"> bgw</t>
  </si>
  <si>
    <t xml:space="preserve">Model diagnosis                             </t>
  </si>
  <si>
    <t xml:space="preserve"> Relative function convergence</t>
  </si>
  <si>
    <t xml:space="preserve">Optimisation diagnosis                      </t>
  </si>
  <si>
    <t xml:space="preserve"> Maximum found</t>
  </si>
  <si>
    <t xml:space="preserve">     hessian properties                     </t>
  </si>
  <si>
    <t xml:space="preserve"> Negative definite</t>
  </si>
  <si>
    <t xml:space="preserve">     maximum eigenvalue                     </t>
  </si>
  <si>
    <t xml:space="preserve">     reciprocal of condition number         </t>
  </si>
  <si>
    <t xml:space="preserve">Number of individuals                       </t>
  </si>
  <si>
    <t xml:space="preserve">Number of rows in database                  </t>
  </si>
  <si>
    <t xml:space="preserve">Number of modelled outcomes                 </t>
  </si>
  <si>
    <t xml:space="preserve">Number of cores used                        </t>
  </si>
  <si>
    <t xml:space="preserve">LL(start)                                   </t>
  </si>
  <si>
    <t xml:space="preserve">LL at equal shares, LL(0)                   </t>
  </si>
  <si>
    <t xml:space="preserve">LL at observed shares, LL(C)                </t>
  </si>
  <si>
    <t xml:space="preserve">LL(final)                                   </t>
  </si>
  <si>
    <t xml:space="preserve">Rho-squared vs equal shares                  </t>
  </si>
  <si>
    <t xml:space="preserve">Adj.Rho-squared vs equal shares              </t>
  </si>
  <si>
    <t xml:space="preserve">Rho-squared vs observed shares               </t>
  </si>
  <si>
    <t xml:space="preserve">Adj.Rho-squared vs observed shares           </t>
  </si>
  <si>
    <t xml:space="preserve">AIC                                         </t>
  </si>
  <si>
    <t xml:space="preserve">BIC                                         </t>
  </si>
  <si>
    <t>Model Coefficients</t>
  </si>
  <si>
    <t xml:space="preserve"> </t>
  </si>
  <si>
    <t>Signif. codes</t>
  </si>
  <si>
    <t xml:space="preserve">  0 ‘***’ 0.001 ‘**’ 0.01 ‘*’ 0.05 ‘.’ 0.1 ‘ ’ 1</t>
  </si>
  <si>
    <t>Log-Likelihood</t>
  </si>
  <si>
    <t>Null Log-Likelihood</t>
  </si>
  <si>
    <t>AIC</t>
  </si>
  <si>
    <t>BIC</t>
  </si>
  <si>
    <t>McFadden R2</t>
  </si>
  <si>
    <t>Adj McFadden R2</t>
  </si>
  <si>
    <t>Number of Observations</t>
  </si>
  <si>
    <t>mileage</t>
  </si>
  <si>
    <t>range_year0</t>
  </si>
  <si>
    <t>degradation</t>
  </si>
  <si>
    <t>packreplace</t>
  </si>
  <si>
    <t>cellreplace</t>
  </si>
  <si>
    <t>class_1</t>
  </si>
  <si>
    <t>class_2</t>
  </si>
  <si>
    <t>class_3</t>
  </si>
  <si>
    <t>share</t>
  </si>
  <si>
    <t>Class_1</t>
  </si>
  <si>
    <t>Class_2</t>
  </si>
  <si>
    <t>Class_3</t>
  </si>
  <si>
    <t>class_allocation</t>
  </si>
  <si>
    <t>ATT_EVB_environment</t>
  </si>
  <si>
    <t>ATT_EVB_function</t>
  </si>
  <si>
    <t>FA_EV_benefit</t>
  </si>
  <si>
    <t>FA_EV_anxiety</t>
  </si>
  <si>
    <t>X1</t>
  </si>
  <si>
    <t>X2</t>
  </si>
  <si>
    <t>X3</t>
  </si>
  <si>
    <t>n</t>
  </si>
  <si>
    <t>next_veh_fuel_used_bev</t>
  </si>
  <si>
    <t>Showing 1 to 3 of 3 entries, 6 total columns</t>
  </si>
  <si>
    <t>Indicators</t>
  </si>
  <si>
    <t>class_4</t>
  </si>
  <si>
    <t>Class_4</t>
  </si>
  <si>
    <t>Class_5</t>
  </si>
  <si>
    <t>Class_6</t>
  </si>
  <si>
    <t>Class_7</t>
  </si>
  <si>
    <t>Class_8</t>
  </si>
  <si>
    <t>Attributes (WTP)</t>
  </si>
  <si>
    <t>no 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</si>
</sst>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3" x14ac:knownFonts="1">
    <font>
      <sz val="12"/>
      <color theme="1"/>
      <name val="Aptos Narrow"/>
      <family val="2"/>
      <scheme val="minor"/>
    </font>
    <font>
      <sz val="12"/>
      <color rgb="FFC00000"/>
      <name val="Aptos Narrow"/>
      <scheme val="minor"/>
    </font>
    <font>
      <b/>
      <sz val="12"/>
      <color rgb="FFC00000"/>
      <name val="Aptos Narrow"/>
      <scheme val="minor"/>
    </font>
    <font>
      <sz val="12"/>
      <color rgb="FFC00000"/>
      <name val="Aptos Narrow (Body)"/>
    </font>
    <font>
      <b/>
      <sz val="12"/>
      <color rgb="FFC00000"/>
      <name val="Aptos Narrow (Body)"/>
    </font>
    <font>
      <sz val="12"/>
      <color theme="1"/>
      <name val="Aptos Narrow"/>
      <family val="2"/>
      <scheme val="minor"/>
    </font>
    <font>
      <b/>
      <sz val="11"/>
      <color rgb="FFFFFFFF"/>
      <name val="Lucida Grande"/>
      <family val="2"/>
    </font>
    <font>
      <sz val="11"/>
      <color rgb="FFFFFFFF"/>
      <name val="Lucida Grande"/>
      <family val="2"/>
    </font>
    <font>
      <sz val="11"/>
      <color theme="1"/>
      <name val="Lucida Grande"/>
      <family val="2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rgb="FFFFFFFF"/>
      <name val="Aptos Narrow"/>
      <scheme val="minor"/>
    </font>
    <font>
      <b/>
      <sz val="12"/>
      <color rgb="FFFFFFFF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3">
    <xf numFmtId="0" fontId="0" fillId="0" borderId="0" xfId="0"/>
    <xf numFmtId="1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0" fontId="1" fillId="0" borderId="0" xfId="0" quotePrefix="1" applyFont="1" applyAlignment="1">
      <alignment wrapText="1"/>
    </xf>
    <xf numFmtId="165" fontId="0" fillId="2" borderId="0" xfId="0" applyNumberFormat="1" applyFill="1"/>
    <xf numFmtId="165" fontId="0" fillId="3" borderId="0" xfId="0" applyNumberFormat="1" applyFill="1"/>
    <xf numFmtId="165" fontId="0" fillId="4" borderId="0" xfId="0" applyNumberFormat="1" applyFill="1"/>
    <xf numFmtId="0" fontId="1" fillId="4" borderId="0" xfId="0" applyFont="1" applyFill="1" applyAlignment="1">
      <alignment wrapText="1"/>
    </xf>
    <xf numFmtId="2" fontId="0" fillId="0" borderId="0" xfId="0" applyNumberFormat="1"/>
    <xf numFmtId="1" fontId="0" fillId="0" borderId="0" xfId="0" applyNumberForma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Font="1"/>
    <xf numFmtId="2" fontId="8" fillId="0" borderId="0" xfId="0" applyNumberFormat="1" applyFont="1"/>
    <xf numFmtId="2" fontId="0" fillId="0" borderId="0" xfId="0" applyNumberFormat="1" applyFont="1"/>
    <xf numFmtId="2" fontId="6" fillId="0" borderId="0" xfId="0" applyNumberFormat="1" applyFont="1"/>
    <xf numFmtId="2" fontId="7" fillId="0" borderId="0" xfId="0" applyNumberFormat="1" applyFont="1"/>
    <xf numFmtId="1" fontId="9" fillId="0" borderId="0" xfId="0" applyNumberFormat="1" applyFont="1" applyAlignment="1"/>
    <xf numFmtId="2" fontId="9" fillId="0" borderId="0" xfId="0" applyNumberFormat="1" applyFont="1" applyAlignment="1"/>
    <xf numFmtId="9" fontId="9" fillId="0" borderId="0" xfId="1" applyFont="1" applyAlignment="1"/>
    <xf numFmtId="1" fontId="9" fillId="0" borderId="0" xfId="1" applyNumberFormat="1" applyFont="1" applyAlignment="1"/>
    <xf numFmtId="2" fontId="9" fillId="2" borderId="0" xfId="0" applyNumberFormat="1" applyFont="1" applyFill="1" applyAlignment="1">
      <alignment horizontal="center"/>
    </xf>
    <xf numFmtId="1" fontId="9" fillId="0" borderId="0" xfId="0" applyNumberFormat="1" applyFont="1" applyAlignment="1">
      <alignment wrapText="1"/>
    </xf>
    <xf numFmtId="2" fontId="9" fillId="0" borderId="0" xfId="0" applyNumberFormat="1" applyFont="1" applyAlignment="1">
      <alignment wrapText="1"/>
    </xf>
    <xf numFmtId="9" fontId="9" fillId="0" borderId="0" xfId="1" applyFont="1" applyAlignment="1">
      <alignment wrapText="1"/>
    </xf>
    <xf numFmtId="9" fontId="9" fillId="4" borderId="0" xfId="1" applyFont="1" applyFill="1" applyAlignment="1"/>
    <xf numFmtId="1" fontId="9" fillId="4" borderId="0" xfId="1" applyNumberFormat="1" applyFont="1" applyFill="1" applyAlignment="1"/>
    <xf numFmtId="2" fontId="9" fillId="4" borderId="0" xfId="0" applyNumberFormat="1" applyFont="1" applyFill="1" applyAlignment="1"/>
    <xf numFmtId="2" fontId="10" fillId="0" borderId="0" xfId="0" applyNumberFormat="1" applyFont="1" applyAlignment="1"/>
    <xf numFmtId="2" fontId="11" fillId="0" borderId="0" xfId="0" applyNumberFormat="1" applyFont="1" applyAlignment="1">
      <alignment wrapText="1"/>
    </xf>
    <xf numFmtId="2" fontId="9" fillId="0" borderId="0" xfId="0" applyNumberFormat="1" applyFont="1"/>
    <xf numFmtId="2" fontId="12" fillId="0" borderId="0" xfId="0" applyNumberFormat="1" applyFont="1"/>
    <xf numFmtId="2" fontId="11" fillId="0" borderId="0" xfId="0" applyNumberFormat="1" applyFont="1"/>
    <xf numFmtId="2" fontId="9" fillId="4" borderId="0" xfId="0" applyNumberFormat="1" applyFont="1" applyFill="1"/>
    <xf numFmtId="2" fontId="1" fillId="4" borderId="0" xfId="0" applyNumberFormat="1" applyFont="1" applyFill="1" applyAlignment="1"/>
    <xf numFmtId="2" fontId="1" fillId="0" borderId="0" xfId="0" applyNumberFormat="1" applyFont="1" applyAlignment="1"/>
    <xf numFmtId="9" fontId="9" fillId="5" borderId="0" xfId="1" applyFont="1" applyFill="1" applyAlignment="1"/>
    <xf numFmtId="1" fontId="9" fillId="5" borderId="0" xfId="0" applyNumberFormat="1" applyFont="1" applyFill="1" applyAlignment="1"/>
    <xf numFmtId="2" fontId="9" fillId="5" borderId="0" xfId="0" applyNumberFormat="1" applyFont="1" applyFill="1" applyAlignment="1"/>
    <xf numFmtId="2" fontId="11" fillId="5" borderId="0" xfId="0" applyNumberFormat="1" applyFont="1" applyFill="1"/>
    <xf numFmtId="2" fontId="9" fillId="0" borderId="0" xfId="1" applyNumberFormat="1" applyFont="1" applyAlignment="1"/>
    <xf numFmtId="2" fontId="9" fillId="4" borderId="0" xfId="1" applyNumberFormat="1" applyFont="1" applyFill="1" applyAlignment="1"/>
    <xf numFmtId="2" fontId="9" fillId="5" borderId="0" xfId="0" applyNumberFormat="1" applyFont="1" applyFill="1"/>
    <xf numFmtId="2" fontId="9" fillId="0" borderId="0" xfId="1" applyNumberFormat="1" applyFont="1" applyFill="1" applyAlignment="1"/>
    <xf numFmtId="1" fontId="9" fillId="0" borderId="0" xfId="1" applyNumberFormat="1" applyFont="1" applyFill="1" applyAlignment="1"/>
    <xf numFmtId="2" fontId="9" fillId="0" borderId="0" xfId="0" applyNumberFormat="1" applyFont="1" applyFill="1" applyAlignment="1"/>
    <xf numFmtId="2" fontId="9" fillId="0" borderId="0" xfId="0" applyNumberFormat="1" applyFont="1" applyFill="1"/>
    <xf numFmtId="9" fontId="9" fillId="0" borderId="0" xfId="1" applyFont="1" applyFill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ogansen, Xiatian (Assoc)" id="{6C956E13-F787-0C48-957E-04F303557D97}" userId="S::xnw17@NIST.GOV::fd2e0304-9e4b-4254-9e2e-ab3a6543019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0" dT="2025-10-30T04:26:39.06" personId="{6C956E13-F787-0C48-957E-04F303557D97}" id="{18C140C0-C6F8-074A-91CD-75BB99D0379D}">
    <text>I read somewhere saying the sign of SD in MXL is arbitrary, and we can ignore it?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7" dT="2025-10-30T04:35:44.91" personId="{6C956E13-F787-0C48-957E-04F303557D97}" id="{EAFB9D0D-C11B-4048-B7CC-114E2D3A5FE7}">
    <text>assuming normal distribution significantly change the coefficients.</text>
  </threadedComment>
  <threadedComment ref="B10" dT="2025-10-30T04:26:39.06" personId="{6C956E13-F787-0C48-957E-04F303557D97}" id="{20A15F17-6EEF-AA45-A750-8106A8D99E81}">
    <text>I read somewhere saying the sign of SD in MXL is arbitrary, and we can ignore it?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3D6C5-CA58-9948-87F6-3771A0BD0381}">
  <dimension ref="A1:F19"/>
  <sheetViews>
    <sheetView zoomScale="158" workbookViewId="0">
      <selection activeCell="B5" sqref="B4:B5"/>
    </sheetView>
  </sheetViews>
  <sheetFormatPr baseColWidth="10" defaultRowHeight="16" x14ac:dyDescent="0.2"/>
  <cols>
    <col min="1" max="1" width="24.6640625" customWidth="1"/>
  </cols>
  <sheetData>
    <row r="1" spans="1:6" x14ac:dyDescent="0.2">
      <c r="A1" t="s">
        <v>109</v>
      </c>
      <c r="B1" t="s">
        <v>110</v>
      </c>
    </row>
    <row r="2" spans="1:6" x14ac:dyDescent="0.2">
      <c r="B2" t="s">
        <v>19</v>
      </c>
      <c r="C2" t="s">
        <v>20</v>
      </c>
      <c r="D2" t="s">
        <v>21</v>
      </c>
      <c r="E2" t="s">
        <v>22</v>
      </c>
    </row>
    <row r="3" spans="1:6" x14ac:dyDescent="0.2">
      <c r="A3" t="s">
        <v>3</v>
      </c>
      <c r="B3" s="12">
        <v>-0.180009</v>
      </c>
      <c r="C3" s="12">
        <v>2.4830000000000001E-2</v>
      </c>
      <c r="D3" s="12">
        <v>-7.2497999999999996</v>
      </c>
      <c r="E3" s="12">
        <v>4.1740000000000002E-13</v>
      </c>
      <c r="F3" s="12" t="s">
        <v>23</v>
      </c>
    </row>
    <row r="4" spans="1:6" x14ac:dyDescent="0.2">
      <c r="A4" t="s">
        <v>24</v>
      </c>
      <c r="B4" s="12">
        <v>-0.26925900000000003</v>
      </c>
      <c r="C4" s="12">
        <v>3.8856000000000002E-2</v>
      </c>
      <c r="D4" s="12">
        <v>-6.9295999999999998</v>
      </c>
      <c r="E4" s="12">
        <v>4.2200000000000002E-12</v>
      </c>
      <c r="F4" s="12" t="s">
        <v>23</v>
      </c>
    </row>
    <row r="5" spans="1:6" x14ac:dyDescent="0.2">
      <c r="A5" t="s">
        <v>4</v>
      </c>
      <c r="B5" s="12">
        <v>0.43724400000000002</v>
      </c>
      <c r="C5" s="12">
        <v>5.1194000000000003E-2</v>
      </c>
      <c r="D5" s="12">
        <v>8.5410000000000004</v>
      </c>
      <c r="E5" s="12" t="s">
        <v>25</v>
      </c>
      <c r="F5" s="12" t="s">
        <v>23</v>
      </c>
    </row>
    <row r="6" spans="1:6" x14ac:dyDescent="0.2">
      <c r="A6" t="s">
        <v>5</v>
      </c>
      <c r="B6" s="12">
        <v>-0.248443</v>
      </c>
      <c r="C6" s="12">
        <v>1.342E-2</v>
      </c>
      <c r="D6" s="12">
        <v>-18.512799999999999</v>
      </c>
      <c r="E6" s="12" t="s">
        <v>25</v>
      </c>
      <c r="F6" s="12" t="s">
        <v>23</v>
      </c>
    </row>
    <row r="7" spans="1:6" x14ac:dyDescent="0.2">
      <c r="A7" t="s">
        <v>6</v>
      </c>
      <c r="B7" s="12">
        <v>-0.31741399999999997</v>
      </c>
      <c r="C7" s="12">
        <v>6.8989999999999996E-2</v>
      </c>
      <c r="D7" s="12">
        <v>-4.6009000000000002</v>
      </c>
      <c r="E7" s="12">
        <v>4.2080000000000002E-6</v>
      </c>
      <c r="F7" s="12" t="s">
        <v>23</v>
      </c>
    </row>
    <row r="8" spans="1:6" x14ac:dyDescent="0.2">
      <c r="A8" t="s">
        <v>7</v>
      </c>
      <c r="B8" s="12">
        <v>-0.39115899999999998</v>
      </c>
      <c r="C8" s="12">
        <v>6.9182999999999995E-2</v>
      </c>
      <c r="D8" s="12">
        <v>-5.6539999999999999</v>
      </c>
      <c r="E8" s="12">
        <v>1.5679999999999999E-8</v>
      </c>
      <c r="F8" s="12" t="s">
        <v>23</v>
      </c>
    </row>
    <row r="9" spans="1:6" x14ac:dyDescent="0.2">
      <c r="A9" t="s">
        <v>8</v>
      </c>
      <c r="B9" s="12">
        <v>-2.3026960000000001</v>
      </c>
      <c r="C9" s="12">
        <v>0.226659</v>
      </c>
      <c r="D9" s="12">
        <v>-10.1593</v>
      </c>
      <c r="E9" s="12" t="s">
        <v>25</v>
      </c>
      <c r="F9" s="12" t="s">
        <v>23</v>
      </c>
    </row>
    <row r="10" spans="1:6" x14ac:dyDescent="0.2">
      <c r="A10" t="s">
        <v>11</v>
      </c>
    </row>
    <row r="11" spans="1:6" x14ac:dyDescent="0.2">
      <c r="A11" t="s">
        <v>111</v>
      </c>
      <c r="B11" t="s">
        <v>112</v>
      </c>
    </row>
    <row r="12" spans="1:6" x14ac:dyDescent="0.2">
      <c r="A12" t="s">
        <v>13</v>
      </c>
    </row>
    <row r="13" spans="1:6" x14ac:dyDescent="0.2">
      <c r="A13" t="s">
        <v>113</v>
      </c>
      <c r="B13">
        <v>-2708.7453761000002</v>
      </c>
    </row>
    <row r="14" spans="1:6" x14ac:dyDescent="0.2">
      <c r="A14" t="s">
        <v>114</v>
      </c>
      <c r="B14">
        <v>-3102.5267801999998</v>
      </c>
    </row>
    <row r="15" spans="1:6" x14ac:dyDescent="0.2">
      <c r="A15" t="s">
        <v>115</v>
      </c>
      <c r="B15">
        <v>5431.4907523000002</v>
      </c>
    </row>
    <row r="16" spans="1:6" x14ac:dyDescent="0.2">
      <c r="A16" t="s">
        <v>116</v>
      </c>
      <c r="B16">
        <v>5471.4840999999997</v>
      </c>
    </row>
    <row r="17" spans="1:3" x14ac:dyDescent="0.2">
      <c r="A17" t="s">
        <v>117</v>
      </c>
      <c r="B17">
        <v>0.1269228</v>
      </c>
    </row>
    <row r="18" spans="1:3" x14ac:dyDescent="0.2">
      <c r="A18" t="s">
        <v>118</v>
      </c>
      <c r="B18">
        <v>0.1246666</v>
      </c>
    </row>
    <row r="19" spans="1:3" x14ac:dyDescent="0.2">
      <c r="A19" t="s">
        <v>119</v>
      </c>
      <c r="B19">
        <v>2238</v>
      </c>
      <c r="C19">
        <f>B19/24</f>
        <v>93.25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36E36-06EA-2D4A-8F8A-37A002B2072F}">
  <dimension ref="A1:H37"/>
  <sheetViews>
    <sheetView zoomScale="158" workbookViewId="0">
      <selection activeCell="B21" sqref="B21"/>
    </sheetView>
  </sheetViews>
  <sheetFormatPr baseColWidth="10" defaultRowHeight="16" x14ac:dyDescent="0.2"/>
  <cols>
    <col min="1" max="1" width="24.6640625" customWidth="1"/>
    <col min="2" max="8" width="10.83203125" style="12"/>
  </cols>
  <sheetData>
    <row r="1" spans="1:8" x14ac:dyDescent="0.2">
      <c r="A1" t="s">
        <v>65</v>
      </c>
    </row>
    <row r="2" spans="1:8" x14ac:dyDescent="0.2">
      <c r="B2" s="12" t="s">
        <v>19</v>
      </c>
      <c r="C2" s="12" t="s">
        <v>66</v>
      </c>
      <c r="D2" s="12" t="s">
        <v>67</v>
      </c>
      <c r="E2" s="12" t="s">
        <v>68</v>
      </c>
      <c r="F2" s="12" t="s">
        <v>69</v>
      </c>
      <c r="G2" s="12" t="s">
        <v>70</v>
      </c>
      <c r="H2" s="12" t="s">
        <v>68</v>
      </c>
    </row>
    <row r="3" spans="1:8" x14ac:dyDescent="0.2">
      <c r="A3" t="s">
        <v>71</v>
      </c>
      <c r="B3" s="12">
        <v>2.1170000000000001E-2</v>
      </c>
      <c r="C3" s="12">
        <v>2.911E-2</v>
      </c>
      <c r="D3" s="12">
        <v>0.72729999999999995</v>
      </c>
      <c r="E3" s="12">
        <v>0.23351</v>
      </c>
      <c r="F3" s="12">
        <v>3.2070000000000001E-2</v>
      </c>
      <c r="G3" s="12">
        <v>0.6603</v>
      </c>
      <c r="H3" s="12">
        <v>0.25453399999999998</v>
      </c>
    </row>
    <row r="4" spans="1:8" x14ac:dyDescent="0.2">
      <c r="A4" t="s">
        <v>77</v>
      </c>
      <c r="B4" s="12">
        <v>-8.4059999999999996E-2</v>
      </c>
      <c r="C4" s="12">
        <v>2.2870000000000001E-2</v>
      </c>
      <c r="D4" s="12">
        <v>-3.6751999999999998</v>
      </c>
      <c r="E4" s="12">
        <v>1.1883999999999999E-4</v>
      </c>
      <c r="F4" s="12">
        <v>5.901E-2</v>
      </c>
      <c r="G4" s="12">
        <v>-1.4245000000000001</v>
      </c>
      <c r="H4" s="12">
        <v>7.7151999999999998E-2</v>
      </c>
    </row>
    <row r="5" spans="1:8" x14ac:dyDescent="0.2">
      <c r="A5" t="s">
        <v>72</v>
      </c>
      <c r="B5" s="12">
        <v>0.22944000000000001</v>
      </c>
      <c r="C5" s="12">
        <v>4.5679999999999998E-2</v>
      </c>
      <c r="D5" s="12">
        <v>5.0225999999999997</v>
      </c>
      <c r="E5" s="12">
        <v>2.5489999999999999E-7</v>
      </c>
      <c r="F5" s="12">
        <v>5.3940000000000002E-2</v>
      </c>
      <c r="G5" s="12">
        <v>4.2534999999999998</v>
      </c>
      <c r="H5" s="12">
        <v>1.0519999999999999E-5</v>
      </c>
    </row>
    <row r="6" spans="1:8" x14ac:dyDescent="0.2">
      <c r="A6" t="s">
        <v>73</v>
      </c>
      <c r="B6" s="12">
        <v>-6.0639999999999999E-2</v>
      </c>
      <c r="C6" s="12">
        <v>1.541E-2</v>
      </c>
      <c r="D6" s="12">
        <v>-3.9361000000000002</v>
      </c>
      <c r="E6" s="12">
        <v>4.1409999999999998E-5</v>
      </c>
      <c r="F6" s="12">
        <v>1.5480000000000001E-2</v>
      </c>
      <c r="G6" s="12">
        <v>-3.9180000000000001</v>
      </c>
      <c r="H6" s="12">
        <v>4.464E-5</v>
      </c>
    </row>
    <row r="7" spans="1:8" x14ac:dyDescent="0.2">
      <c r="A7" t="s">
        <v>74</v>
      </c>
      <c r="B7" s="12">
        <v>-0.36864999999999998</v>
      </c>
      <c r="C7" s="12">
        <v>9.0120000000000006E-2</v>
      </c>
      <c r="D7" s="12">
        <v>-4.0907999999999998</v>
      </c>
      <c r="E7" s="12">
        <v>2.1489999999999999E-5</v>
      </c>
      <c r="F7" s="12">
        <v>9.8290000000000002E-2</v>
      </c>
      <c r="G7" s="12">
        <v>-3.7505000000000002</v>
      </c>
      <c r="H7" s="12">
        <v>8.8239999999999995E-5</v>
      </c>
    </row>
    <row r="8" spans="1:8" x14ac:dyDescent="0.2">
      <c r="A8" t="s">
        <v>75</v>
      </c>
      <c r="B8" s="12">
        <v>-0.26269999999999999</v>
      </c>
      <c r="C8" s="12">
        <v>9.1829999999999995E-2</v>
      </c>
      <c r="D8" s="12">
        <v>-2.8609</v>
      </c>
      <c r="E8" s="12">
        <v>2.1120000000000002E-3</v>
      </c>
      <c r="F8" s="12">
        <v>9.7360000000000002E-2</v>
      </c>
      <c r="G8" s="12">
        <v>-2.6981000000000002</v>
      </c>
      <c r="H8" s="12">
        <v>3.4859999999999999E-3</v>
      </c>
    </row>
    <row r="9" spans="1:8" x14ac:dyDescent="0.2">
      <c r="A9" t="s">
        <v>76</v>
      </c>
      <c r="B9" s="12">
        <v>-0.86951000000000001</v>
      </c>
      <c r="C9" s="12">
        <v>6.2260000000000003E-2</v>
      </c>
      <c r="D9" s="12">
        <v>-13.9651</v>
      </c>
      <c r="E9" s="12">
        <v>0</v>
      </c>
      <c r="F9" s="12">
        <v>0.10704</v>
      </c>
      <c r="G9" s="12">
        <v>-8.1231000000000009</v>
      </c>
      <c r="H9" s="12">
        <v>2.2200000000000001E-16</v>
      </c>
    </row>
    <row r="12" spans="1:8" x14ac:dyDescent="0.2">
      <c r="A12" t="s">
        <v>79</v>
      </c>
      <c r="B12" s="12" t="s">
        <v>80</v>
      </c>
    </row>
    <row r="13" spans="1:8" x14ac:dyDescent="0.2">
      <c r="A13" t="s">
        <v>81</v>
      </c>
      <c r="B13" s="12" t="s">
        <v>82</v>
      </c>
    </row>
    <row r="14" spans="1:8" x14ac:dyDescent="0.2">
      <c r="A14" t="s">
        <v>83</v>
      </c>
      <c r="B14" s="12" t="s">
        <v>84</v>
      </c>
      <c r="C14" s="12">
        <v>57</v>
      </c>
      <c r="D14" s="12">
        <v>31.904548999999999</v>
      </c>
    </row>
    <row r="15" spans="1:8" x14ac:dyDescent="0.2">
      <c r="A15" t="s">
        <v>85</v>
      </c>
      <c r="B15" s="12" t="s">
        <v>86</v>
      </c>
    </row>
    <row r="16" spans="1:8" x14ac:dyDescent="0.2">
      <c r="A16" t="s">
        <v>87</v>
      </c>
      <c r="B16" s="12" t="s">
        <v>88</v>
      </c>
    </row>
    <row r="17" spans="1:2" x14ac:dyDescent="0.2">
      <c r="A17" t="s">
        <v>89</v>
      </c>
      <c r="B17" s="12" t="s">
        <v>90</v>
      </c>
    </row>
    <row r="18" spans="1:2" x14ac:dyDescent="0.2">
      <c r="A18" t="s">
        <v>91</v>
      </c>
      <c r="B18" s="12" t="s">
        <v>92</v>
      </c>
    </row>
    <row r="19" spans="1:2" x14ac:dyDescent="0.2">
      <c r="A19" t="s">
        <v>93</v>
      </c>
      <c r="B19" s="12">
        <v>-77.090168000000006</v>
      </c>
    </row>
    <row r="20" spans="1:2" x14ac:dyDescent="0.2">
      <c r="A20" t="s">
        <v>94</v>
      </c>
      <c r="B20" s="12">
        <v>1.9451500000000001E-3</v>
      </c>
    </row>
    <row r="21" spans="1:2" x14ac:dyDescent="0.2">
      <c r="A21" t="s">
        <v>95</v>
      </c>
      <c r="B21" s="12">
        <v>373</v>
      </c>
    </row>
    <row r="22" spans="1:2" x14ac:dyDescent="0.2">
      <c r="A22" t="s">
        <v>96</v>
      </c>
      <c r="B22" s="12">
        <v>8952</v>
      </c>
    </row>
    <row r="23" spans="1:2" x14ac:dyDescent="0.2">
      <c r="A23" t="s">
        <v>97</v>
      </c>
      <c r="B23" s="12">
        <v>8952</v>
      </c>
    </row>
    <row r="25" spans="1:2" x14ac:dyDescent="0.2">
      <c r="A25" t="s">
        <v>98</v>
      </c>
      <c r="B25" s="12">
        <v>1</v>
      </c>
    </row>
    <row r="26" spans="1:2" x14ac:dyDescent="0.2">
      <c r="A26" t="s">
        <v>78</v>
      </c>
    </row>
    <row r="28" spans="1:2" x14ac:dyDescent="0.2">
      <c r="A28" t="s">
        <v>99</v>
      </c>
      <c r="B28" s="12">
        <v>-12410.11</v>
      </c>
    </row>
    <row r="29" spans="1:2" x14ac:dyDescent="0.2">
      <c r="A29" t="s">
        <v>100</v>
      </c>
      <c r="B29" s="12">
        <v>-12410.11</v>
      </c>
    </row>
    <row r="30" spans="1:2" x14ac:dyDescent="0.2">
      <c r="A30" t="s">
        <v>101</v>
      </c>
      <c r="B30" s="12">
        <v>-11980.16</v>
      </c>
    </row>
    <row r="31" spans="1:2" x14ac:dyDescent="0.2">
      <c r="A31" t="s">
        <v>102</v>
      </c>
      <c r="B31" s="12">
        <v>-11957.39</v>
      </c>
    </row>
    <row r="32" spans="1:2" x14ac:dyDescent="0.2">
      <c r="A32" t="s">
        <v>103</v>
      </c>
      <c r="B32" s="12">
        <v>3.6499999999999998E-2</v>
      </c>
    </row>
    <row r="33" spans="1:2" x14ac:dyDescent="0.2">
      <c r="A33" t="s">
        <v>104</v>
      </c>
      <c r="B33" s="12">
        <v>3.5900000000000001E-2</v>
      </c>
    </row>
    <row r="34" spans="1:2" x14ac:dyDescent="0.2">
      <c r="A34" t="s">
        <v>105</v>
      </c>
      <c r="B34" s="12">
        <v>1.9E-3</v>
      </c>
    </row>
    <row r="35" spans="1:2" x14ac:dyDescent="0.2">
      <c r="A35" t="s">
        <v>106</v>
      </c>
      <c r="B35" s="12">
        <v>1.6000000000000001E-3</v>
      </c>
    </row>
    <row r="36" spans="1:2" x14ac:dyDescent="0.2">
      <c r="A36" t="s">
        <v>107</v>
      </c>
      <c r="B36" s="12">
        <v>23928.77</v>
      </c>
    </row>
    <row r="37" spans="1:2" x14ac:dyDescent="0.2">
      <c r="A37" t="s">
        <v>108</v>
      </c>
      <c r="B37" s="12">
        <v>23978.47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044D3-FF48-F949-BEDB-50C8FB71579F}">
  <dimension ref="A1:F19"/>
  <sheetViews>
    <sheetView zoomScale="150" workbookViewId="0">
      <selection activeCell="C1" sqref="C1:C1048576"/>
    </sheetView>
  </sheetViews>
  <sheetFormatPr baseColWidth="10" defaultRowHeight="16" x14ac:dyDescent="0.2"/>
  <cols>
    <col min="1" max="1" width="22.5" customWidth="1"/>
    <col min="4" max="4" width="20.1640625" customWidth="1"/>
  </cols>
  <sheetData>
    <row r="1" spans="1:6" x14ac:dyDescent="0.2">
      <c r="A1" t="s">
        <v>10</v>
      </c>
    </row>
    <row r="2" spans="1:6" x14ac:dyDescent="0.2">
      <c r="B2" t="s">
        <v>19</v>
      </c>
      <c r="C2" t="s">
        <v>20</v>
      </c>
      <c r="D2" t="s">
        <v>21</v>
      </c>
      <c r="E2" t="s">
        <v>22</v>
      </c>
    </row>
    <row r="3" spans="1:6" x14ac:dyDescent="0.2">
      <c r="A3" t="s">
        <v>2</v>
      </c>
      <c r="B3">
        <v>0.26928999999999997</v>
      </c>
      <c r="C3">
        <v>3.8838999999999999E-2</v>
      </c>
      <c r="D3">
        <v>6.9333999999999998</v>
      </c>
      <c r="E3" s="1">
        <v>4.1070000000000002E-12</v>
      </c>
      <c r="F3" t="s">
        <v>23</v>
      </c>
    </row>
    <row r="4" spans="1:6" x14ac:dyDescent="0.2">
      <c r="A4" t="s">
        <v>3</v>
      </c>
      <c r="B4">
        <v>-0.66856599999999999</v>
      </c>
      <c r="C4">
        <v>0.13299</v>
      </c>
      <c r="D4">
        <v>-5.0271999999999997</v>
      </c>
      <c r="E4" s="1">
        <v>4.9770000000000002E-7</v>
      </c>
      <c r="F4" t="s">
        <v>23</v>
      </c>
    </row>
    <row r="5" spans="1:6" x14ac:dyDescent="0.2">
      <c r="A5" t="s">
        <v>4</v>
      </c>
      <c r="B5">
        <v>1.6232279999999999</v>
      </c>
      <c r="C5">
        <v>0.300904</v>
      </c>
      <c r="D5">
        <v>5.3944999999999999</v>
      </c>
      <c r="E5" s="1">
        <v>6.8709999999999998E-8</v>
      </c>
      <c r="F5" t="s">
        <v>23</v>
      </c>
    </row>
    <row r="6" spans="1:6" x14ac:dyDescent="0.2">
      <c r="A6" t="s">
        <v>5</v>
      </c>
      <c r="B6">
        <v>-0.92255200000000004</v>
      </c>
      <c r="C6">
        <v>0.14156099999999999</v>
      </c>
      <c r="D6">
        <v>-6.5170000000000003</v>
      </c>
      <c r="E6" s="1">
        <v>7.1729999999999994E-11</v>
      </c>
      <c r="F6" t="s">
        <v>23</v>
      </c>
    </row>
    <row r="7" spans="1:6" x14ac:dyDescent="0.2">
      <c r="A7" t="s">
        <v>6</v>
      </c>
      <c r="B7">
        <v>-1.179014</v>
      </c>
      <c r="C7">
        <v>0.30646800000000002</v>
      </c>
      <c r="D7">
        <v>-3.8471000000000002</v>
      </c>
      <c r="E7">
        <v>1.195E-4</v>
      </c>
      <c r="F7" t="s">
        <v>23</v>
      </c>
    </row>
    <row r="8" spans="1:6" x14ac:dyDescent="0.2">
      <c r="A8" t="s">
        <v>7</v>
      </c>
      <c r="B8">
        <v>-1.452915</v>
      </c>
      <c r="C8">
        <v>0.33077400000000001</v>
      </c>
      <c r="D8">
        <v>-4.3925000000000001</v>
      </c>
      <c r="E8" s="1">
        <v>1.1209999999999999E-5</v>
      </c>
      <c r="F8" t="s">
        <v>23</v>
      </c>
    </row>
    <row r="9" spans="1:6" x14ac:dyDescent="0.2">
      <c r="A9" t="s">
        <v>8</v>
      </c>
      <c r="B9">
        <v>-8.5530190000000008</v>
      </c>
      <c r="C9">
        <v>1.0270379999999999</v>
      </c>
      <c r="D9">
        <v>-8.3278999999999996</v>
      </c>
      <c r="E9" t="s">
        <v>25</v>
      </c>
      <c r="F9" t="s">
        <v>23</v>
      </c>
    </row>
    <row r="10" spans="1:6" x14ac:dyDescent="0.2">
      <c r="A10" t="s">
        <v>11</v>
      </c>
    </row>
    <row r="11" spans="1:6" x14ac:dyDescent="0.2">
      <c r="A11" t="s">
        <v>12</v>
      </c>
    </row>
    <row r="12" spans="1:6" x14ac:dyDescent="0.2">
      <c r="A12" t="s">
        <v>13</v>
      </c>
    </row>
    <row r="13" spans="1:6" x14ac:dyDescent="0.2">
      <c r="A13" t="s">
        <v>30</v>
      </c>
    </row>
    <row r="14" spans="1:6" x14ac:dyDescent="0.2">
      <c r="A14" t="s">
        <v>14</v>
      </c>
    </row>
    <row r="15" spans="1:6" x14ac:dyDescent="0.2">
      <c r="A15" t="s">
        <v>31</v>
      </c>
    </row>
    <row r="16" spans="1:6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B3222-C801-E043-841A-9324DF72711D}">
  <dimension ref="A1:D9"/>
  <sheetViews>
    <sheetView zoomScale="140" workbookViewId="0">
      <selection activeCell="B3" sqref="B3:B7"/>
    </sheetView>
  </sheetViews>
  <sheetFormatPr baseColWidth="10" defaultRowHeight="16" x14ac:dyDescent="0.2"/>
  <cols>
    <col min="1" max="1" width="27.1640625" customWidth="1"/>
  </cols>
  <sheetData>
    <row r="1" spans="1:4" x14ac:dyDescent="0.2">
      <c r="B1" t="s">
        <v>0</v>
      </c>
      <c r="C1" t="s">
        <v>1</v>
      </c>
    </row>
    <row r="2" spans="1:4" x14ac:dyDescent="0.2">
      <c r="A2" t="s">
        <v>2</v>
      </c>
      <c r="C2" s="2">
        <v>0.26928970000000002</v>
      </c>
    </row>
    <row r="3" spans="1:4" x14ac:dyDescent="0.2">
      <c r="A3" t="s">
        <v>3</v>
      </c>
      <c r="B3" s="2">
        <v>-0.66853189999999996</v>
      </c>
      <c r="C3" s="2">
        <v>-0.66856599999999999</v>
      </c>
      <c r="D3" s="13">
        <f>C3*10000</f>
        <v>-6685.66</v>
      </c>
    </row>
    <row r="4" spans="1:4" x14ac:dyDescent="0.2">
      <c r="A4" t="s">
        <v>4</v>
      </c>
      <c r="B4" s="2">
        <v>1.6238931999999999</v>
      </c>
      <c r="C4" s="2">
        <v>1.6232283000000001</v>
      </c>
      <c r="D4" s="13">
        <f t="shared" ref="D4:D8" si="0">C4*10000</f>
        <v>16232.283000000001</v>
      </c>
    </row>
    <row r="5" spans="1:4" x14ac:dyDescent="0.2">
      <c r="A5" t="s">
        <v>5</v>
      </c>
      <c r="B5" s="2">
        <v>-0.92270399999999997</v>
      </c>
      <c r="C5" s="2">
        <v>-0.92255169999999997</v>
      </c>
      <c r="D5" s="13">
        <f t="shared" si="0"/>
        <v>-9225.5169999999998</v>
      </c>
    </row>
    <row r="6" spans="1:4" x14ac:dyDescent="0.2">
      <c r="A6" t="s">
        <v>6</v>
      </c>
      <c r="B6" s="2">
        <v>-1.1788794</v>
      </c>
      <c r="C6" s="2">
        <v>-1.1790134999999999</v>
      </c>
      <c r="D6" s="13">
        <f t="shared" si="0"/>
        <v>-11790.135</v>
      </c>
    </row>
    <row r="7" spans="1:4" x14ac:dyDescent="0.2">
      <c r="A7" t="s">
        <v>7</v>
      </c>
      <c r="B7" s="2">
        <v>-1.4527574000000001</v>
      </c>
      <c r="C7" s="2">
        <v>-1.4529145000000001</v>
      </c>
      <c r="D7" s="13">
        <f t="shared" si="0"/>
        <v>-14529.145</v>
      </c>
    </row>
    <row r="8" spans="1:4" x14ac:dyDescent="0.2">
      <c r="A8" t="s">
        <v>8</v>
      </c>
      <c r="B8" s="2">
        <v>-8.5519996999999996</v>
      </c>
      <c r="C8" s="2">
        <v>-8.5530190000000008</v>
      </c>
      <c r="D8" s="13">
        <f t="shared" si="0"/>
        <v>-85530.19</v>
      </c>
    </row>
    <row r="9" spans="1:4" x14ac:dyDescent="0.2">
      <c r="A9" t="s">
        <v>9</v>
      </c>
      <c r="B9" s="2">
        <v>-2708.7453761000002</v>
      </c>
      <c r="C9" s="2">
        <v>-2708.7453819000002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ECF5B-770C-B54D-A122-56F31E5F4471}">
  <dimension ref="A1:H21"/>
  <sheetViews>
    <sheetView zoomScale="125" workbookViewId="0">
      <selection activeCell="G8" sqref="G8"/>
    </sheetView>
  </sheetViews>
  <sheetFormatPr baseColWidth="10" defaultRowHeight="16" x14ac:dyDescent="0.2"/>
  <cols>
    <col min="1" max="1" width="27.5" customWidth="1"/>
    <col min="2" max="2" width="10.83203125" style="3"/>
    <col min="3" max="5" width="10.83203125" style="2"/>
    <col min="6" max="6" width="6.33203125" style="2" customWidth="1"/>
    <col min="7" max="7" width="75.83203125" style="5" customWidth="1"/>
  </cols>
  <sheetData>
    <row r="1" spans="1:8" x14ac:dyDescent="0.2">
      <c r="A1" t="s">
        <v>10</v>
      </c>
    </row>
    <row r="2" spans="1:8" ht="17" x14ac:dyDescent="0.2">
      <c r="B2" s="3" t="s">
        <v>19</v>
      </c>
      <c r="C2" s="2" t="s">
        <v>20</v>
      </c>
      <c r="D2" s="2" t="s">
        <v>21</v>
      </c>
      <c r="E2" s="2" t="s">
        <v>22</v>
      </c>
      <c r="G2" s="6" t="s">
        <v>34</v>
      </c>
    </row>
    <row r="3" spans="1:8" ht="17" x14ac:dyDescent="0.2">
      <c r="A3" t="s">
        <v>2</v>
      </c>
      <c r="B3" s="3">
        <v>0.67381000000000002</v>
      </c>
      <c r="C3" s="2">
        <v>0.114853</v>
      </c>
      <c r="D3" s="2">
        <v>5.8666999999999998</v>
      </c>
      <c r="E3" s="2">
        <v>4.4450000000000003E-9</v>
      </c>
      <c r="F3" s="2" t="s">
        <v>23</v>
      </c>
      <c r="G3" s="7" t="s">
        <v>35</v>
      </c>
    </row>
    <row r="4" spans="1:8" ht="34" x14ac:dyDescent="0.2">
      <c r="A4" t="s">
        <v>3</v>
      </c>
      <c r="B4" s="3">
        <v>-0.35072900000000001</v>
      </c>
      <c r="C4" s="2">
        <v>6.5242999999999995E-2</v>
      </c>
      <c r="D4" s="2">
        <v>-5.3757000000000001</v>
      </c>
      <c r="E4" s="2">
        <v>7.6269999999999994E-8</v>
      </c>
      <c r="F4" s="2" t="s">
        <v>23</v>
      </c>
      <c r="G4" s="5" t="s">
        <v>56</v>
      </c>
    </row>
    <row r="5" spans="1:8" ht="17" x14ac:dyDescent="0.2">
      <c r="A5" t="s">
        <v>4</v>
      </c>
      <c r="B5" s="3">
        <v>0.78077200000000002</v>
      </c>
      <c r="C5" s="2">
        <v>0.16450200000000001</v>
      </c>
      <c r="D5" s="2">
        <v>4.7462999999999997</v>
      </c>
      <c r="E5" s="2">
        <v>2.0719999999999998E-6</v>
      </c>
      <c r="F5" s="2" t="s">
        <v>23</v>
      </c>
      <c r="G5" s="5" t="s">
        <v>57</v>
      </c>
    </row>
    <row r="6" spans="1:8" ht="17" x14ac:dyDescent="0.2">
      <c r="A6" t="s">
        <v>5</v>
      </c>
      <c r="B6" s="3">
        <v>-0.54600099999999996</v>
      </c>
      <c r="C6" s="2">
        <v>7.8025999999999998E-2</v>
      </c>
      <c r="D6" s="2">
        <v>-6.9977</v>
      </c>
      <c r="E6" s="2">
        <v>2.602E-12</v>
      </c>
      <c r="F6" s="2" t="s">
        <v>23</v>
      </c>
      <c r="G6" s="5" t="s">
        <v>58</v>
      </c>
    </row>
    <row r="7" spans="1:8" ht="17" x14ac:dyDescent="0.2">
      <c r="A7" t="s">
        <v>6</v>
      </c>
      <c r="B7" s="3">
        <v>-0.52132199999999995</v>
      </c>
      <c r="C7" s="2">
        <v>0.148309</v>
      </c>
      <c r="D7" s="2">
        <v>-3.5150999999999999</v>
      </c>
      <c r="E7" s="2">
        <v>4.3960000000000001E-4</v>
      </c>
      <c r="F7" s="2" t="s">
        <v>23</v>
      </c>
      <c r="G7" s="5" t="s">
        <v>59</v>
      </c>
    </row>
    <row r="8" spans="1:8" ht="17" x14ac:dyDescent="0.2">
      <c r="A8" t="s">
        <v>7</v>
      </c>
      <c r="B8" s="3">
        <v>-0.71137600000000001</v>
      </c>
      <c r="C8" s="2">
        <v>0.16147400000000001</v>
      </c>
      <c r="D8" s="2">
        <v>-4.4055</v>
      </c>
      <c r="E8" s="2">
        <v>1.0550000000000001E-5</v>
      </c>
      <c r="F8" s="2" t="s">
        <v>23</v>
      </c>
      <c r="G8" s="5" t="s">
        <v>60</v>
      </c>
    </row>
    <row r="9" spans="1:8" ht="17" x14ac:dyDescent="0.2">
      <c r="A9" t="s">
        <v>8</v>
      </c>
      <c r="B9" s="3">
        <v>-10.387777</v>
      </c>
      <c r="C9" s="2">
        <v>0.91375099999999998</v>
      </c>
      <c r="D9" s="2">
        <v>-11.3683</v>
      </c>
      <c r="E9" s="2" t="s">
        <v>25</v>
      </c>
      <c r="F9" s="2" t="s">
        <v>23</v>
      </c>
      <c r="G9" s="5" t="s">
        <v>36</v>
      </c>
    </row>
    <row r="10" spans="1:8" ht="51" x14ac:dyDescent="0.2">
      <c r="A10" t="s">
        <v>32</v>
      </c>
      <c r="B10" s="8">
        <v>1.9714389999999999</v>
      </c>
      <c r="C10" s="2">
        <v>0.25878299999999999</v>
      </c>
      <c r="D10" s="2">
        <v>7.6181000000000001</v>
      </c>
      <c r="E10" s="2">
        <v>2.5759999999999999E-14</v>
      </c>
      <c r="F10" s="2" t="s">
        <v>23</v>
      </c>
      <c r="G10" s="5" t="s">
        <v>61</v>
      </c>
    </row>
    <row r="11" spans="1:8" ht="51" x14ac:dyDescent="0.2">
      <c r="A11" t="s">
        <v>33</v>
      </c>
      <c r="B11" s="3">
        <v>0.55581700000000001</v>
      </c>
      <c r="C11" s="2">
        <v>8.9687000000000003E-2</v>
      </c>
      <c r="D11" s="2">
        <v>6.1973000000000003</v>
      </c>
      <c r="E11" s="2">
        <v>5.7450000000000003E-10</v>
      </c>
      <c r="F11" s="2" t="s">
        <v>23</v>
      </c>
      <c r="G11" s="5" t="s">
        <v>51</v>
      </c>
    </row>
    <row r="12" spans="1:8" x14ac:dyDescent="0.2">
      <c r="A12" t="s">
        <v>11</v>
      </c>
    </row>
    <row r="13" spans="1:8" x14ac:dyDescent="0.2">
      <c r="A13" t="s">
        <v>12</v>
      </c>
      <c r="B13" s="8"/>
    </row>
    <row r="14" spans="1:8" x14ac:dyDescent="0.2">
      <c r="A14" t="s">
        <v>13</v>
      </c>
      <c r="B14" s="8"/>
      <c r="H14" s="4"/>
    </row>
    <row r="15" spans="1:8" x14ac:dyDescent="0.2">
      <c r="A15" t="s">
        <v>53</v>
      </c>
    </row>
    <row r="16" spans="1:8" x14ac:dyDescent="0.2">
      <c r="A16" t="s">
        <v>14</v>
      </c>
    </row>
    <row r="17" spans="1:1" x14ac:dyDescent="0.2">
      <c r="A17" t="s">
        <v>54</v>
      </c>
    </row>
    <row r="18" spans="1:1" x14ac:dyDescent="0.2">
      <c r="A18" t="s">
        <v>55</v>
      </c>
    </row>
    <row r="19" spans="1:1" x14ac:dyDescent="0.2">
      <c r="A19" t="s">
        <v>26</v>
      </c>
    </row>
    <row r="20" spans="1:1" x14ac:dyDescent="0.2">
      <c r="A20" t="s">
        <v>27</v>
      </c>
    </row>
    <row r="21" spans="1:1" x14ac:dyDescent="0.2">
      <c r="A21" t="s">
        <v>18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2C3E1-23ED-8F4D-8176-67E98314F078}">
  <dimension ref="A1:H26"/>
  <sheetViews>
    <sheetView topLeftCell="A4" zoomScale="140" workbookViewId="0">
      <selection activeCell="G20" sqref="G20"/>
    </sheetView>
  </sheetViews>
  <sheetFormatPr baseColWidth="10" defaultRowHeight="16" x14ac:dyDescent="0.2"/>
  <cols>
    <col min="1" max="1" width="27.5" customWidth="1"/>
    <col min="2" max="2" width="10.83203125" style="3"/>
    <col min="3" max="5" width="10.83203125" style="2"/>
    <col min="6" max="6" width="6.33203125" style="2" customWidth="1"/>
    <col min="7" max="7" width="75.83203125" style="5" customWidth="1"/>
  </cols>
  <sheetData>
    <row r="1" spans="1:8" x14ac:dyDescent="0.2">
      <c r="A1" t="s">
        <v>10</v>
      </c>
    </row>
    <row r="2" spans="1:8" ht="17" x14ac:dyDescent="0.2">
      <c r="B2" s="3" t="s">
        <v>19</v>
      </c>
      <c r="C2" s="2" t="s">
        <v>20</v>
      </c>
      <c r="D2" s="2" t="s">
        <v>21</v>
      </c>
      <c r="E2" s="2" t="s">
        <v>22</v>
      </c>
      <c r="G2" s="6" t="s">
        <v>34</v>
      </c>
    </row>
    <row r="3" spans="1:8" ht="17" x14ac:dyDescent="0.2">
      <c r="A3" t="s">
        <v>2</v>
      </c>
      <c r="B3" s="3">
        <v>0.72178299999999995</v>
      </c>
      <c r="C3" s="2">
        <v>0.12818099999999999</v>
      </c>
      <c r="D3" s="2">
        <v>5.6310000000000002</v>
      </c>
      <c r="E3" s="2">
        <v>1.7920000000000001E-8</v>
      </c>
      <c r="F3" s="2" t="s">
        <v>23</v>
      </c>
      <c r="G3" s="7" t="s">
        <v>35</v>
      </c>
    </row>
    <row r="4" spans="1:8" ht="34" x14ac:dyDescent="0.2">
      <c r="A4" t="s">
        <v>3</v>
      </c>
      <c r="B4" s="3">
        <v>-0.36879000000000001</v>
      </c>
      <c r="C4" s="2">
        <v>6.9930000000000006E-2</v>
      </c>
      <c r="D4" s="2">
        <v>-5.2736999999999998</v>
      </c>
      <c r="E4" s="2">
        <v>1.3370000000000001E-7</v>
      </c>
      <c r="F4" s="2" t="s">
        <v>23</v>
      </c>
      <c r="G4" s="5" t="s">
        <v>37</v>
      </c>
    </row>
    <row r="5" spans="1:8" ht="17" x14ac:dyDescent="0.2">
      <c r="A5" t="s">
        <v>4</v>
      </c>
      <c r="B5" s="3">
        <v>0.75517800000000002</v>
      </c>
      <c r="C5" s="2">
        <v>0.156555</v>
      </c>
      <c r="D5" s="2">
        <v>4.8236999999999997</v>
      </c>
      <c r="E5" s="2">
        <v>1.409E-6</v>
      </c>
      <c r="F5" s="2" t="s">
        <v>23</v>
      </c>
      <c r="G5" s="5" t="s">
        <v>38</v>
      </c>
    </row>
    <row r="6" spans="1:8" ht="17" x14ac:dyDescent="0.2">
      <c r="A6" t="s">
        <v>5</v>
      </c>
      <c r="B6" s="3">
        <v>-0.53311900000000001</v>
      </c>
      <c r="C6" s="2">
        <v>7.4839000000000003E-2</v>
      </c>
      <c r="D6" s="2">
        <v>-7.1234999999999999</v>
      </c>
      <c r="E6" s="2">
        <v>1.052E-12</v>
      </c>
      <c r="F6" s="2" t="s">
        <v>23</v>
      </c>
      <c r="G6" s="5" t="s">
        <v>39</v>
      </c>
    </row>
    <row r="7" spans="1:8" ht="17" x14ac:dyDescent="0.2">
      <c r="A7" t="s">
        <v>6</v>
      </c>
      <c r="B7" s="9">
        <v>-0.72192699999999999</v>
      </c>
      <c r="C7" s="2">
        <v>0.22258</v>
      </c>
      <c r="D7" s="2">
        <v>-3.2435</v>
      </c>
      <c r="E7" s="2">
        <v>1.181E-3</v>
      </c>
      <c r="F7" s="2" t="s">
        <v>47</v>
      </c>
      <c r="G7" s="5" t="s">
        <v>40</v>
      </c>
    </row>
    <row r="8" spans="1:8" ht="17" x14ac:dyDescent="0.2">
      <c r="A8" t="s">
        <v>7</v>
      </c>
      <c r="B8" s="3">
        <v>-0.71375200000000005</v>
      </c>
      <c r="C8" s="2">
        <v>0.233986</v>
      </c>
      <c r="D8" s="2">
        <v>-3.0503999999999998</v>
      </c>
      <c r="E8" s="2">
        <v>2.2850000000000001E-3</v>
      </c>
      <c r="F8" s="2" t="s">
        <v>47</v>
      </c>
      <c r="G8" s="5" t="s">
        <v>41</v>
      </c>
    </row>
    <row r="9" spans="1:8" ht="17" x14ac:dyDescent="0.2">
      <c r="A9" t="s">
        <v>8</v>
      </c>
      <c r="B9" s="3">
        <v>-10.304404999999999</v>
      </c>
      <c r="C9" s="2">
        <v>0.88530900000000001</v>
      </c>
      <c r="D9" s="2">
        <v>-11.6393</v>
      </c>
      <c r="E9" s="2" t="s">
        <v>25</v>
      </c>
      <c r="F9" s="2" t="s">
        <v>23</v>
      </c>
      <c r="G9" s="5" t="s">
        <v>36</v>
      </c>
    </row>
    <row r="10" spans="1:8" ht="34" x14ac:dyDescent="0.2">
      <c r="A10" t="s">
        <v>48</v>
      </c>
      <c r="B10" s="10">
        <v>-0.25922000000000001</v>
      </c>
      <c r="C10" s="2">
        <v>0.17491899999999999</v>
      </c>
      <c r="D10" s="2">
        <v>-1.4819</v>
      </c>
      <c r="E10" s="2">
        <v>0.138354</v>
      </c>
      <c r="G10" s="11" t="s">
        <v>62</v>
      </c>
    </row>
    <row r="11" spans="1:8" ht="51" x14ac:dyDescent="0.2">
      <c r="A11" t="s">
        <v>32</v>
      </c>
      <c r="B11" s="3">
        <v>1.903621</v>
      </c>
      <c r="C11" s="2">
        <v>0.254639</v>
      </c>
      <c r="D11" s="2">
        <v>7.4757999999999996</v>
      </c>
      <c r="E11" s="2">
        <v>7.6829999999999999E-14</v>
      </c>
      <c r="F11" s="2" t="s">
        <v>23</v>
      </c>
      <c r="G11" s="5" t="s">
        <v>52</v>
      </c>
    </row>
    <row r="12" spans="1:8" ht="51" x14ac:dyDescent="0.2">
      <c r="A12" t="s">
        <v>33</v>
      </c>
      <c r="B12" s="3">
        <v>0.54768399999999995</v>
      </c>
      <c r="C12" s="2">
        <v>8.7680999999999995E-2</v>
      </c>
      <c r="D12" s="2">
        <v>6.2462999999999997</v>
      </c>
      <c r="E12" s="2">
        <v>4.2029999999999999E-10</v>
      </c>
      <c r="F12" s="2" t="s">
        <v>23</v>
      </c>
      <c r="G12" s="5" t="s">
        <v>51</v>
      </c>
    </row>
    <row r="13" spans="1:8" ht="51" x14ac:dyDescent="0.2">
      <c r="A13" t="s">
        <v>49</v>
      </c>
      <c r="B13" s="10">
        <v>-0.91086599999999995</v>
      </c>
      <c r="C13" s="2">
        <v>0.62588500000000002</v>
      </c>
      <c r="D13" s="2">
        <v>-1.4553</v>
      </c>
      <c r="E13" s="2">
        <v>0.14557899999999999</v>
      </c>
      <c r="G13" s="11" t="s">
        <v>63</v>
      </c>
    </row>
    <row r="14" spans="1:8" ht="34" x14ac:dyDescent="0.2">
      <c r="A14" t="s">
        <v>50</v>
      </c>
      <c r="B14" s="10">
        <v>-0.13042100000000001</v>
      </c>
      <c r="C14" s="2">
        <v>0.80495899999999998</v>
      </c>
      <c r="D14" s="2">
        <v>-0.16200000000000001</v>
      </c>
      <c r="E14" s="2">
        <v>0.87128899999999998</v>
      </c>
      <c r="G14" s="11" t="s">
        <v>64</v>
      </c>
      <c r="H14" s="4"/>
    </row>
    <row r="15" spans="1:8" x14ac:dyDescent="0.2">
      <c r="A15" t="s">
        <v>11</v>
      </c>
    </row>
    <row r="16" spans="1:8" x14ac:dyDescent="0.2">
      <c r="A16" t="s">
        <v>12</v>
      </c>
    </row>
    <row r="17" spans="1:1" x14ac:dyDescent="0.2">
      <c r="A17" t="s">
        <v>13</v>
      </c>
    </row>
    <row r="18" spans="1:1" x14ac:dyDescent="0.2">
      <c r="A18" t="s">
        <v>42</v>
      </c>
    </row>
    <row r="19" spans="1:1" x14ac:dyDescent="0.2">
      <c r="A19" t="s">
        <v>14</v>
      </c>
    </row>
    <row r="20" spans="1:1" x14ac:dyDescent="0.2">
      <c r="A20" t="s">
        <v>43</v>
      </c>
    </row>
    <row r="21" spans="1:1" x14ac:dyDescent="0.2">
      <c r="A21" t="s">
        <v>44</v>
      </c>
    </row>
    <row r="22" spans="1:1" x14ac:dyDescent="0.2">
      <c r="A22" t="s">
        <v>45</v>
      </c>
    </row>
    <row r="23" spans="1:1" x14ac:dyDescent="0.2">
      <c r="A23" t="s">
        <v>46</v>
      </c>
    </row>
    <row r="24" spans="1:1" x14ac:dyDescent="0.2">
      <c r="A24" t="s">
        <v>18</v>
      </c>
    </row>
    <row r="25" spans="1:1" x14ac:dyDescent="0.2">
      <c r="A25" t="s">
        <v>28</v>
      </c>
    </row>
    <row r="26" spans="1:1" x14ac:dyDescent="0.2">
      <c r="A26" t="s">
        <v>29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410A7-8855-C745-A45F-66147B214673}">
  <dimension ref="A1:V62"/>
  <sheetViews>
    <sheetView tabSelected="1" zoomScale="119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I8" sqref="I8"/>
    </sheetView>
  </sheetViews>
  <sheetFormatPr baseColWidth="10" defaultRowHeight="16" x14ac:dyDescent="0.2"/>
  <cols>
    <col min="1" max="1" width="14.83203125" style="23" customWidth="1"/>
    <col min="2" max="2" width="6.6640625" style="24" customWidth="1"/>
    <col min="3" max="3" width="6.6640625" style="22" customWidth="1"/>
    <col min="4" max="13" width="11.5" style="23" customWidth="1"/>
    <col min="14" max="16384" width="10.83203125" style="23"/>
  </cols>
  <sheetData>
    <row r="1" spans="1:22" x14ac:dyDescent="0.2">
      <c r="D1" s="26" t="s">
        <v>150</v>
      </c>
      <c r="E1" s="26"/>
      <c r="F1" s="26"/>
      <c r="G1" s="26"/>
      <c r="H1" s="26"/>
      <c r="K1" s="26" t="s">
        <v>143</v>
      </c>
      <c r="L1" s="26"/>
      <c r="M1" s="26"/>
    </row>
    <row r="2" spans="1:22" s="28" customFormat="1" ht="34" x14ac:dyDescent="0.2">
      <c r="A2" s="28" t="s">
        <v>132</v>
      </c>
      <c r="B2" s="29" t="s">
        <v>128</v>
      </c>
      <c r="C2" s="27" t="s">
        <v>140</v>
      </c>
      <c r="D2" s="28" t="s">
        <v>120</v>
      </c>
      <c r="E2" s="28" t="s">
        <v>121</v>
      </c>
      <c r="F2" s="28" t="s">
        <v>122</v>
      </c>
      <c r="G2" s="28" t="s">
        <v>123</v>
      </c>
      <c r="H2" s="28" t="s">
        <v>124</v>
      </c>
      <c r="I2" s="28" t="s">
        <v>151</v>
      </c>
      <c r="K2" s="28" t="s">
        <v>135</v>
      </c>
      <c r="L2" s="28" t="s">
        <v>136</v>
      </c>
      <c r="M2" s="28" t="s">
        <v>141</v>
      </c>
      <c r="P2" s="34"/>
      <c r="Q2" s="34"/>
      <c r="R2" s="34" t="s">
        <v>133</v>
      </c>
      <c r="S2" s="34" t="s">
        <v>134</v>
      </c>
      <c r="T2" s="34" t="s">
        <v>135</v>
      </c>
      <c r="U2" s="34" t="s">
        <v>136</v>
      </c>
    </row>
    <row r="3" spans="1:22" s="28" customFormat="1" x14ac:dyDescent="0.2">
      <c r="A3" s="23" t="s">
        <v>129</v>
      </c>
      <c r="B3" s="29">
        <v>1</v>
      </c>
      <c r="C3" s="27">
        <v>373</v>
      </c>
      <c r="D3" s="35">
        <v>-0.66853189999999996</v>
      </c>
      <c r="E3" s="35">
        <v>1.6238931999999999</v>
      </c>
      <c r="F3" s="35">
        <v>-0.92270399999999997</v>
      </c>
      <c r="G3" s="35">
        <v>-1.1788794</v>
      </c>
      <c r="H3" s="35">
        <v>-1.4527574000000001</v>
      </c>
      <c r="I3" s="28">
        <v>-8.5519999999999996</v>
      </c>
      <c r="K3" s="28">
        <v>0.1131438</v>
      </c>
      <c r="L3" s="28">
        <v>-6.6764110000000002E-2</v>
      </c>
      <c r="M3" s="28">
        <v>2.7238609999999999</v>
      </c>
      <c r="P3" s="34"/>
      <c r="Q3" s="34"/>
      <c r="R3" s="34"/>
      <c r="S3" s="34"/>
      <c r="T3" s="34"/>
      <c r="U3" s="34"/>
    </row>
    <row r="4" spans="1:22" s="28" customFormat="1" x14ac:dyDescent="0.2">
      <c r="B4" s="29"/>
      <c r="C4" s="27"/>
      <c r="P4" s="34"/>
      <c r="Q4" s="34"/>
      <c r="R4" s="34"/>
      <c r="S4" s="34"/>
      <c r="T4" s="34"/>
      <c r="U4" s="34"/>
    </row>
    <row r="5" spans="1:22" s="28" customFormat="1" ht="17" hidden="1" x14ac:dyDescent="0.2">
      <c r="A5" s="28" t="s">
        <v>129</v>
      </c>
      <c r="B5" s="29">
        <v>0.17460000000000001</v>
      </c>
      <c r="C5" s="25">
        <f>B5*372</f>
        <v>64.9512</v>
      </c>
      <c r="D5" s="28">
        <v>-0.67932499999999996</v>
      </c>
      <c r="E5" s="28">
        <v>2.2720600000000002</v>
      </c>
      <c r="F5" s="28">
        <v>-0.85699879999999995</v>
      </c>
      <c r="G5" s="28">
        <v>-4.025836</v>
      </c>
      <c r="H5" s="28">
        <v>-4.0522869999999998</v>
      </c>
      <c r="K5" s="23">
        <v>-0.39491900000000002</v>
      </c>
      <c r="L5" s="23">
        <v>0.44189499999999998</v>
      </c>
      <c r="M5" s="23">
        <v>1.9682539999999999</v>
      </c>
      <c r="P5" s="34"/>
      <c r="Q5" s="34"/>
      <c r="R5" s="34"/>
      <c r="S5" s="34"/>
      <c r="T5" s="34"/>
      <c r="U5" s="34"/>
    </row>
    <row r="6" spans="1:22" s="28" customFormat="1" ht="17" hidden="1" x14ac:dyDescent="0.2">
      <c r="A6" s="28" t="s">
        <v>130</v>
      </c>
      <c r="B6" s="29">
        <v>0.82540000000000002</v>
      </c>
      <c r="C6" s="25">
        <f>B6*372</f>
        <v>307.04880000000003</v>
      </c>
      <c r="D6" s="28">
        <v>-5.4752539999999996</v>
      </c>
      <c r="E6" s="28">
        <v>113.94135</v>
      </c>
      <c r="F6" s="28">
        <v>-26.756679399999999</v>
      </c>
      <c r="G6" s="28">
        <v>-5.4283219999999996</v>
      </c>
      <c r="H6" s="28">
        <v>-16.605425</v>
      </c>
      <c r="K6" s="23">
        <v>0.21262010000000001</v>
      </c>
      <c r="L6" s="23">
        <v>-0.16999939999999999</v>
      </c>
      <c r="M6" s="23">
        <v>2.8770229999999999</v>
      </c>
      <c r="P6" s="34"/>
      <c r="Q6" s="34"/>
      <c r="R6" s="34"/>
      <c r="S6" s="34"/>
      <c r="T6" s="34"/>
      <c r="U6" s="34"/>
    </row>
    <row r="7" spans="1:22" s="28" customFormat="1" hidden="1" x14ac:dyDescent="0.2">
      <c r="B7" s="29"/>
      <c r="C7" s="27"/>
      <c r="T7" s="34"/>
      <c r="U7" s="34"/>
    </row>
    <row r="8" spans="1:22" s="28" customFormat="1" x14ac:dyDescent="0.2">
      <c r="A8" s="23" t="s">
        <v>129</v>
      </c>
      <c r="B8" s="23">
        <v>0.16850000000000001</v>
      </c>
      <c r="C8" s="25">
        <f>B8*372</f>
        <v>62.682000000000002</v>
      </c>
      <c r="D8" s="23">
        <v>-0.81164375</v>
      </c>
      <c r="E8" s="23">
        <v>1.68573631</v>
      </c>
      <c r="F8" s="23">
        <v>-0.87571833399999999</v>
      </c>
      <c r="G8" s="23">
        <v>-1.1968998</v>
      </c>
      <c r="H8" s="23">
        <v>-1.9916098</v>
      </c>
      <c r="K8" s="18">
        <v>-0.46752480000000002</v>
      </c>
      <c r="L8" s="18">
        <v>0.36279090000000003</v>
      </c>
      <c r="M8" s="18">
        <v>1.8301890000000001</v>
      </c>
      <c r="P8" s="34"/>
      <c r="Q8" s="34"/>
      <c r="R8" s="34"/>
      <c r="S8" s="34"/>
      <c r="T8" s="34"/>
      <c r="U8" s="34"/>
    </row>
    <row r="9" spans="1:22" s="28" customFormat="1" x14ac:dyDescent="0.2">
      <c r="A9" s="23" t="s">
        <v>130</v>
      </c>
      <c r="B9" s="23">
        <v>0.1807</v>
      </c>
      <c r="C9" s="25">
        <f t="shared" ref="C9:C10" si="0">B9*372</f>
        <v>67.220399999999998</v>
      </c>
      <c r="D9" s="23">
        <v>-0.62508218999999998</v>
      </c>
      <c r="E9" s="23">
        <v>5.1086729999999997E-2</v>
      </c>
      <c r="F9" s="23">
        <v>6.1119060000000003E-3</v>
      </c>
      <c r="G9" s="23">
        <v>4.0395859999999999E-2</v>
      </c>
      <c r="H9" s="23">
        <v>0.21259839999999999</v>
      </c>
      <c r="K9" s="18">
        <v>0.71151819999999999</v>
      </c>
      <c r="L9" s="18">
        <v>0.1596949</v>
      </c>
      <c r="M9" s="18">
        <v>3.3214290000000002</v>
      </c>
      <c r="P9" s="34"/>
      <c r="Q9" s="34"/>
      <c r="R9" s="34"/>
      <c r="S9" s="34"/>
      <c r="T9" s="34"/>
      <c r="U9" s="34"/>
    </row>
    <row r="10" spans="1:22" s="28" customFormat="1" x14ac:dyDescent="0.2">
      <c r="A10" s="23" t="s">
        <v>131</v>
      </c>
      <c r="B10" s="23">
        <v>0.65080000000000005</v>
      </c>
      <c r="C10" s="25">
        <f t="shared" si="0"/>
        <v>242.09760000000003</v>
      </c>
      <c r="D10" s="23">
        <v>-9.9518990000000002E-2</v>
      </c>
      <c r="E10" s="23">
        <v>0.94401738000000002</v>
      </c>
      <c r="F10" s="23">
        <v>-0.53775520099999996</v>
      </c>
      <c r="G10" s="23">
        <v>5.7023169999999998E-2</v>
      </c>
      <c r="H10" s="23">
        <v>-0.34409970000000001</v>
      </c>
      <c r="K10" s="18">
        <v>0.15533189999999999</v>
      </c>
      <c r="L10" s="18">
        <v>-0.24507390000000001</v>
      </c>
      <c r="M10" s="18">
        <v>2.8026909999999998</v>
      </c>
      <c r="P10" s="34"/>
      <c r="Q10" s="34"/>
      <c r="R10" s="34"/>
      <c r="S10" s="34"/>
      <c r="T10" s="34"/>
      <c r="U10" s="34"/>
    </row>
    <row r="11" spans="1:22" s="28" customFormat="1" x14ac:dyDescent="0.2">
      <c r="B11" s="29"/>
      <c r="C11" s="27"/>
      <c r="P11" s="14"/>
      <c r="Q11" s="14" t="s">
        <v>132</v>
      </c>
      <c r="R11" s="14" t="s">
        <v>133</v>
      </c>
      <c r="S11" s="14" t="s">
        <v>134</v>
      </c>
      <c r="T11" s="14" t="s">
        <v>135</v>
      </c>
      <c r="U11" s="14" t="s">
        <v>136</v>
      </c>
      <c r="V11" s="14" t="s">
        <v>141</v>
      </c>
    </row>
    <row r="12" spans="1:22" x14ac:dyDescent="0.2">
      <c r="A12" s="23" t="s">
        <v>125</v>
      </c>
      <c r="B12" s="24">
        <v>0.1772</v>
      </c>
      <c r="C12" s="25">
        <f>B12*372</f>
        <v>65.918400000000005</v>
      </c>
      <c r="D12" s="23">
        <v>0.65003739999999999</v>
      </c>
      <c r="E12" s="23">
        <v>-2.271204</v>
      </c>
      <c r="F12" s="23">
        <v>0.90132829000000003</v>
      </c>
      <c r="G12" s="23">
        <v>3.95712149</v>
      </c>
      <c r="H12" s="23">
        <v>3.8451149</v>
      </c>
      <c r="K12" s="23">
        <v>-0.39437</v>
      </c>
      <c r="L12" s="23">
        <v>0.41982776999999999</v>
      </c>
      <c r="M12" s="23">
        <v>2</v>
      </c>
      <c r="P12" s="14"/>
      <c r="Q12" s="14"/>
      <c r="R12" s="14"/>
      <c r="S12" s="14"/>
      <c r="T12" s="14"/>
      <c r="U12" s="14"/>
      <c r="V12" s="14"/>
    </row>
    <row r="13" spans="1:22" x14ac:dyDescent="0.2">
      <c r="A13" s="23" t="s">
        <v>126</v>
      </c>
      <c r="B13" s="24">
        <v>0.3886</v>
      </c>
      <c r="C13" s="25">
        <f t="shared" ref="C13:C15" si="1">B13*372</f>
        <v>144.5592</v>
      </c>
      <c r="D13" s="23">
        <v>-0.9654355</v>
      </c>
      <c r="E13" s="23">
        <v>3.9748670000000002</v>
      </c>
      <c r="F13" s="23">
        <v>-3.9763979999999997E-2</v>
      </c>
      <c r="G13" s="23">
        <v>-1.2284141500000001</v>
      </c>
      <c r="H13" s="23">
        <v>-1.9799268999999999</v>
      </c>
      <c r="K13" s="23">
        <v>0.16613530000000001</v>
      </c>
      <c r="L13" s="23">
        <v>-0.29613158000000001</v>
      </c>
      <c r="M13" s="23">
        <v>2.8913039999999999</v>
      </c>
      <c r="P13" s="15">
        <v>1</v>
      </c>
      <c r="Q13" s="16" t="s">
        <v>137</v>
      </c>
      <c r="R13" s="16">
        <v>3.0188679999999999</v>
      </c>
      <c r="S13" s="16">
        <v>3.3207550000000001</v>
      </c>
    </row>
    <row r="14" spans="1:22" x14ac:dyDescent="0.2">
      <c r="A14" s="23" t="s">
        <v>127</v>
      </c>
      <c r="B14" s="24">
        <v>0.14249999999999999</v>
      </c>
      <c r="C14" s="25">
        <f t="shared" si="1"/>
        <v>53.01</v>
      </c>
      <c r="D14" s="23">
        <v>0.34968529999999998</v>
      </c>
      <c r="E14" s="23">
        <v>-2.7225920000000001</v>
      </c>
      <c r="F14" s="23">
        <v>0.45885195000000001</v>
      </c>
      <c r="G14" s="23">
        <v>-4.6759340000000003E-2</v>
      </c>
      <c r="H14" s="23">
        <v>-0.32098959999999999</v>
      </c>
      <c r="K14" s="23">
        <v>0.1629139</v>
      </c>
      <c r="L14" s="23">
        <v>-3.12401E-3</v>
      </c>
      <c r="M14" s="23">
        <v>2.528302</v>
      </c>
      <c r="P14" s="15">
        <v>2</v>
      </c>
      <c r="Q14" s="16" t="s">
        <v>138</v>
      </c>
      <c r="R14" s="16">
        <v>3.785714</v>
      </c>
      <c r="S14" s="16">
        <v>3.125</v>
      </c>
    </row>
    <row r="15" spans="1:22" x14ac:dyDescent="0.2">
      <c r="A15" s="23" t="s">
        <v>144</v>
      </c>
      <c r="B15" s="24">
        <v>0.29170000000000001</v>
      </c>
      <c r="C15" s="25">
        <f t="shared" si="1"/>
        <v>108.5124</v>
      </c>
      <c r="D15" s="23">
        <v>1.4220381</v>
      </c>
      <c r="E15" s="23">
        <v>5.8705629999999998</v>
      </c>
      <c r="F15" s="23">
        <v>-3.4632726699999998</v>
      </c>
      <c r="G15" s="23">
        <v>1.1389147500000001</v>
      </c>
      <c r="H15" s="23">
        <v>-0.39116719999999999</v>
      </c>
      <c r="K15" s="23">
        <v>0.2890162</v>
      </c>
      <c r="L15" s="23">
        <v>-8.5659849999999996E-2</v>
      </c>
      <c r="M15" s="23">
        <v>3</v>
      </c>
      <c r="P15" s="15">
        <v>3</v>
      </c>
      <c r="Q15" s="16" t="s">
        <v>139</v>
      </c>
      <c r="R15" s="16">
        <v>3.524664</v>
      </c>
      <c r="S15" s="16">
        <v>2.991031</v>
      </c>
    </row>
    <row r="16" spans="1:22" x14ac:dyDescent="0.2">
      <c r="P16" s="15" t="s">
        <v>142</v>
      </c>
      <c r="Q16"/>
      <c r="R16"/>
      <c r="S16"/>
      <c r="T16"/>
      <c r="U16"/>
      <c r="V16"/>
    </row>
    <row r="17" spans="1:15" x14ac:dyDescent="0.2">
      <c r="A17" s="23" t="s">
        <v>129</v>
      </c>
      <c r="B17" s="24">
        <v>6.0839999999999998E-2</v>
      </c>
      <c r="C17" s="25">
        <f>B17*372</f>
        <v>22.632480000000001</v>
      </c>
      <c r="D17" s="23">
        <v>2.32123539</v>
      </c>
      <c r="E17" s="23">
        <v>-4.6548769999999999</v>
      </c>
      <c r="F17" s="23">
        <v>0.92136468000000005</v>
      </c>
      <c r="G17" s="23">
        <v>-3.0067344</v>
      </c>
      <c r="H17" s="23">
        <v>-6.2134156999999997</v>
      </c>
      <c r="K17" s="23">
        <v>0.2750032</v>
      </c>
      <c r="L17" s="23">
        <v>0.21139366000000001</v>
      </c>
      <c r="M17" s="23">
        <v>2.4761899999999999</v>
      </c>
    </row>
    <row r="18" spans="1:15" x14ac:dyDescent="0.2">
      <c r="A18" s="23" t="s">
        <v>130</v>
      </c>
      <c r="B18" s="24">
        <v>0.16617000000000001</v>
      </c>
      <c r="C18" s="25">
        <f t="shared" ref="C18:C45" si="2">B18*372</f>
        <v>61.815240000000003</v>
      </c>
      <c r="D18" s="23">
        <v>0.74676416000000001</v>
      </c>
      <c r="E18" s="23">
        <v>-2.3710499999999999</v>
      </c>
      <c r="F18" s="23">
        <v>0.99741162000000005</v>
      </c>
      <c r="G18" s="23">
        <v>4.4267211</v>
      </c>
      <c r="H18" s="23">
        <v>4.3217575999999998</v>
      </c>
      <c r="K18" s="23">
        <v>-0.3355438</v>
      </c>
      <c r="L18" s="23">
        <v>0.41067906999999998</v>
      </c>
      <c r="M18" s="23">
        <v>2.0163929999999999</v>
      </c>
    </row>
    <row r="19" spans="1:15" x14ac:dyDescent="0.2">
      <c r="A19" s="23" t="s">
        <v>131</v>
      </c>
      <c r="B19" s="24">
        <v>0.37426999999999999</v>
      </c>
      <c r="C19" s="25">
        <f t="shared" si="2"/>
        <v>139.22844000000001</v>
      </c>
      <c r="D19" s="23">
        <v>-0.70264548999999998</v>
      </c>
      <c r="E19" s="23">
        <v>3.3858820000000001</v>
      </c>
      <c r="F19" s="23">
        <v>-1.5988849999999999E-2</v>
      </c>
      <c r="G19" s="23">
        <v>-1.4732303</v>
      </c>
      <c r="H19" s="23">
        <v>-2.4122515999999998</v>
      </c>
      <c r="K19" s="23">
        <v>0.10166699999999999</v>
      </c>
      <c r="L19" s="23">
        <v>-0.31355471000000001</v>
      </c>
      <c r="M19" s="23">
        <v>2.860465</v>
      </c>
    </row>
    <row r="20" spans="1:15" x14ac:dyDescent="0.2">
      <c r="A20" s="23" t="s">
        <v>145</v>
      </c>
      <c r="B20" s="24">
        <v>6.5839999999999996E-2</v>
      </c>
      <c r="C20" s="25">
        <f t="shared" si="2"/>
        <v>24.492479999999997</v>
      </c>
      <c r="D20" s="23">
        <v>2.005316E-2</v>
      </c>
      <c r="E20" s="23">
        <v>-1.744132</v>
      </c>
      <c r="F20" s="23">
        <v>0.19820020999999999</v>
      </c>
      <c r="G20" s="23">
        <v>0.46021869999999998</v>
      </c>
      <c r="H20" s="23">
        <v>0.3921712</v>
      </c>
      <c r="K20" s="23">
        <v>0.34362199999999998</v>
      </c>
      <c r="L20" s="23">
        <v>6.6204639999999995E-2</v>
      </c>
      <c r="M20" s="23">
        <v>2.714286</v>
      </c>
    </row>
    <row r="21" spans="1:15" x14ac:dyDescent="0.2">
      <c r="A21" s="23" t="s">
        <v>146</v>
      </c>
      <c r="B21" s="24">
        <v>0.33289000000000002</v>
      </c>
      <c r="C21" s="25">
        <f t="shared" si="2"/>
        <v>123.83508</v>
      </c>
      <c r="D21" s="23">
        <v>3.8566001499999998</v>
      </c>
      <c r="E21" s="23">
        <v>23.57443</v>
      </c>
      <c r="F21" s="23">
        <v>-11.92756196</v>
      </c>
      <c r="G21" s="23">
        <v>4.3584652999999998</v>
      </c>
      <c r="H21" s="23">
        <v>-2.027676</v>
      </c>
      <c r="K21" s="23">
        <v>0.24643889999999999</v>
      </c>
      <c r="L21" s="23">
        <v>-0.11719027</v>
      </c>
      <c r="M21" s="23">
        <v>2.9548869999999998</v>
      </c>
    </row>
    <row r="23" spans="1:15" x14ac:dyDescent="0.2">
      <c r="A23" s="23" t="s">
        <v>129</v>
      </c>
      <c r="B23" s="24">
        <v>0.1138</v>
      </c>
      <c r="C23" s="25">
        <f t="shared" si="2"/>
        <v>42.333599999999997</v>
      </c>
      <c r="D23" s="23">
        <v>0.25076979999999999</v>
      </c>
      <c r="E23" s="23">
        <v>-2.357056</v>
      </c>
      <c r="F23" s="23">
        <v>0.37928098999999998</v>
      </c>
      <c r="G23" s="23">
        <v>0.1359089</v>
      </c>
      <c r="H23" s="23">
        <v>-1.5020220000000001E-2</v>
      </c>
      <c r="K23" s="23">
        <v>0.27616790000000002</v>
      </c>
      <c r="L23" s="23">
        <v>1.022181E-2</v>
      </c>
      <c r="M23" s="23">
        <v>2.4186049999999999</v>
      </c>
    </row>
    <row r="24" spans="1:15" x14ac:dyDescent="0.2">
      <c r="A24" s="23" t="s">
        <v>130</v>
      </c>
      <c r="B24" s="24">
        <v>0.27533000000000002</v>
      </c>
      <c r="C24" s="25">
        <f t="shared" si="2"/>
        <v>102.42276000000001</v>
      </c>
      <c r="D24" s="23">
        <v>1.4354496000000001</v>
      </c>
      <c r="E24" s="23">
        <v>7.5009430000000004</v>
      </c>
      <c r="F24" s="23">
        <v>-4.2275588800000001</v>
      </c>
      <c r="G24" s="23">
        <v>3.0675769000000002</v>
      </c>
      <c r="H24" s="23">
        <v>0.21421318</v>
      </c>
      <c r="K24" s="23">
        <v>0.3094634</v>
      </c>
      <c r="L24" s="23">
        <v>-1.429426E-2</v>
      </c>
      <c r="M24" s="23">
        <v>3</v>
      </c>
      <c r="N24" s="33"/>
    </row>
    <row r="25" spans="1:15" x14ac:dyDescent="0.2">
      <c r="A25" s="23" t="s">
        <v>131</v>
      </c>
      <c r="B25" s="24">
        <v>4.3029999999999999E-2</v>
      </c>
      <c r="C25" s="25">
        <f t="shared" si="2"/>
        <v>16.007159999999999</v>
      </c>
      <c r="D25" s="23">
        <v>-2.7023818999999998</v>
      </c>
      <c r="E25" s="23">
        <v>-10.067218</v>
      </c>
      <c r="F25" s="23">
        <v>3.1597673899999998</v>
      </c>
      <c r="G25" s="23">
        <v>22.169746700000001</v>
      </c>
      <c r="H25" s="23">
        <v>10.68630374</v>
      </c>
      <c r="I25" s="36" t="s">
        <v>132</v>
      </c>
      <c r="J25" s="36"/>
      <c r="K25" s="23">
        <v>-0.1223672</v>
      </c>
      <c r="L25" s="23">
        <v>-0.45085044000000002</v>
      </c>
      <c r="M25" s="23">
        <v>3</v>
      </c>
      <c r="N25" s="36" t="s">
        <v>136</v>
      </c>
      <c r="O25" s="36" t="s">
        <v>141</v>
      </c>
    </row>
    <row r="26" spans="1:15" x14ac:dyDescent="0.2">
      <c r="A26" s="23" t="s">
        <v>145</v>
      </c>
      <c r="B26" s="24">
        <v>0.13666</v>
      </c>
      <c r="C26" s="25">
        <f t="shared" si="2"/>
        <v>50.837519999999998</v>
      </c>
      <c r="D26" s="23">
        <v>3.6202359999999998</v>
      </c>
      <c r="E26" s="23">
        <v>-4.7230340000000002</v>
      </c>
      <c r="F26" s="23">
        <v>4.3729748600000002</v>
      </c>
      <c r="G26" s="23">
        <v>0.8239727</v>
      </c>
      <c r="H26" s="23">
        <v>-0.41000015000000001</v>
      </c>
      <c r="I26" s="36"/>
      <c r="J26" s="36"/>
      <c r="K26" s="23">
        <v>-0.32882869999999997</v>
      </c>
      <c r="L26" s="23">
        <v>0.34277181000000001</v>
      </c>
      <c r="M26" s="23">
        <v>2.019231</v>
      </c>
      <c r="N26" s="36"/>
      <c r="O26" s="36"/>
    </row>
    <row r="27" spans="1:15" x14ac:dyDescent="0.2">
      <c r="A27" s="23" t="s">
        <v>146</v>
      </c>
      <c r="B27" s="24">
        <v>0.35435</v>
      </c>
      <c r="C27" s="25">
        <f t="shared" si="2"/>
        <v>131.81819999999999</v>
      </c>
      <c r="D27" s="23">
        <v>-0.85962179999999999</v>
      </c>
      <c r="E27" s="23">
        <v>3.0149180000000002</v>
      </c>
      <c r="F27" s="23">
        <v>-5.0602250000000001E-2</v>
      </c>
      <c r="G27" s="23">
        <v>0.47560269999999999</v>
      </c>
      <c r="H27" s="23">
        <v>-0.12046405</v>
      </c>
      <c r="I27" s="35"/>
      <c r="J27" s="35"/>
      <c r="K27" s="23">
        <v>0.200539</v>
      </c>
      <c r="L27" s="23">
        <v>-0.36694267000000003</v>
      </c>
      <c r="M27" s="23">
        <v>2.8925619999999999</v>
      </c>
    </row>
    <row r="28" spans="1:15" x14ac:dyDescent="0.2">
      <c r="A28" s="23" t="s">
        <v>147</v>
      </c>
      <c r="B28" s="24">
        <v>7.6829999999999996E-2</v>
      </c>
      <c r="C28" s="25">
        <f t="shared" si="2"/>
        <v>28.580759999999998</v>
      </c>
      <c r="D28" s="23">
        <v>1.4084616999999999</v>
      </c>
      <c r="E28" s="23">
        <v>-9.0305490000000006</v>
      </c>
      <c r="F28" s="23">
        <v>0.77338675000000001</v>
      </c>
      <c r="G28" s="23">
        <v>30.125465599999998</v>
      </c>
      <c r="H28" s="23">
        <v>30.29497147</v>
      </c>
      <c r="I28" s="35"/>
      <c r="J28" s="35"/>
      <c r="K28" s="23">
        <v>-0.35928579999999999</v>
      </c>
      <c r="L28" s="23">
        <v>0.39762941000000002</v>
      </c>
      <c r="M28" s="23">
        <v>2.5</v>
      </c>
    </row>
    <row r="29" spans="1:15" x14ac:dyDescent="0.2">
      <c r="H29" s="37"/>
      <c r="I29" s="35"/>
      <c r="J29" s="35"/>
      <c r="K29" s="35"/>
      <c r="L29" s="35"/>
      <c r="M29" s="35"/>
      <c r="N29" s="35"/>
      <c r="O29" s="35"/>
    </row>
    <row r="30" spans="1:15" x14ac:dyDescent="0.2">
      <c r="A30" s="23" t="s">
        <v>129</v>
      </c>
      <c r="B30" s="24">
        <v>0.11348999999999999</v>
      </c>
      <c r="C30" s="25">
        <f t="shared" si="2"/>
        <v>42.21828</v>
      </c>
      <c r="D30" s="35">
        <v>0.22415979999999999</v>
      </c>
      <c r="E30" s="35">
        <v>-2.3187140999999998</v>
      </c>
      <c r="F30" s="35">
        <v>0.36089788</v>
      </c>
      <c r="G30" s="23">
        <v>0.1717388</v>
      </c>
      <c r="H30" s="23">
        <v>-3.0442879999999999E-2</v>
      </c>
      <c r="K30" s="35">
        <v>0.31262590000000001</v>
      </c>
      <c r="L30" s="35">
        <v>3.9737010000000003E-2</v>
      </c>
      <c r="M30" s="35">
        <v>2.4666670000000002</v>
      </c>
    </row>
    <row r="31" spans="1:15" x14ac:dyDescent="0.2">
      <c r="A31" s="23" t="s">
        <v>130</v>
      </c>
      <c r="B31" s="24">
        <v>9.078E-2</v>
      </c>
      <c r="C31" s="25">
        <f t="shared" si="2"/>
        <v>33.770159999999997</v>
      </c>
      <c r="D31" s="35">
        <v>0.1581523</v>
      </c>
      <c r="E31" s="35">
        <v>-6.7056893000000004</v>
      </c>
      <c r="F31" s="35">
        <v>0.79957407000000003</v>
      </c>
      <c r="G31" s="35">
        <v>19.2014587</v>
      </c>
      <c r="H31" s="35">
        <v>17.0466354</v>
      </c>
      <c r="K31" s="35">
        <v>-0.42647750000000001</v>
      </c>
      <c r="L31" s="35">
        <v>3.1146159999999999E-2</v>
      </c>
      <c r="M31" s="35">
        <v>2.4571429999999999</v>
      </c>
    </row>
    <row r="32" spans="1:15" x14ac:dyDescent="0.2">
      <c r="A32" s="23" t="s">
        <v>131</v>
      </c>
      <c r="B32" s="24">
        <v>2.879E-2</v>
      </c>
      <c r="C32" s="25">
        <f t="shared" si="2"/>
        <v>10.70988</v>
      </c>
      <c r="D32" s="23">
        <v>-0.59305940000000001</v>
      </c>
      <c r="E32" s="23">
        <v>-0.68022950000000004</v>
      </c>
      <c r="F32" s="23">
        <v>1.22722822</v>
      </c>
      <c r="G32" s="23">
        <v>-1.6992697999999999</v>
      </c>
      <c r="H32" s="23">
        <v>-2.287148E-2</v>
      </c>
      <c r="K32" s="35">
        <v>2.9524000000000002E-2</v>
      </c>
      <c r="L32" s="35">
        <v>0.61302255000000005</v>
      </c>
      <c r="M32" s="35">
        <v>2.1666669999999999</v>
      </c>
    </row>
    <row r="33" spans="1:15" x14ac:dyDescent="0.2">
      <c r="A33" s="23" t="s">
        <v>145</v>
      </c>
      <c r="B33" s="24">
        <v>2.0449999999999999E-2</v>
      </c>
      <c r="C33" s="25">
        <f t="shared" si="2"/>
        <v>7.6074000000000002</v>
      </c>
      <c r="D33" s="23">
        <v>3.3768026</v>
      </c>
      <c r="E33" s="23">
        <v>-1.7289140000000001</v>
      </c>
      <c r="F33" s="23">
        <v>-2.0964038500000002</v>
      </c>
      <c r="G33" s="23">
        <v>-10.7538818</v>
      </c>
      <c r="H33" s="23">
        <v>8.6084705800000005</v>
      </c>
      <c r="I33" s="36" t="s">
        <v>136</v>
      </c>
      <c r="J33" s="36"/>
      <c r="K33" s="35">
        <v>0.21800259999999999</v>
      </c>
      <c r="L33" s="35">
        <v>8.9373839999999996E-2</v>
      </c>
      <c r="M33" s="35">
        <v>2.8333330000000001</v>
      </c>
      <c r="N33" s="35"/>
    </row>
    <row r="34" spans="1:15" x14ac:dyDescent="0.2">
      <c r="A34" s="23" t="s">
        <v>146</v>
      </c>
      <c r="B34" s="24">
        <v>0.33734999999999998</v>
      </c>
      <c r="C34" s="25">
        <f t="shared" si="2"/>
        <v>125.49419999999999</v>
      </c>
      <c r="D34" s="23">
        <v>-1.1445928999999999</v>
      </c>
      <c r="E34" s="23">
        <v>3.7526755000000001</v>
      </c>
      <c r="F34" s="23">
        <v>-2.8238869999999999E-2</v>
      </c>
      <c r="G34" s="23">
        <v>1.2544550000000001</v>
      </c>
      <c r="H34" s="23">
        <v>6.8984069999999995E-2</v>
      </c>
      <c r="I34" s="36"/>
      <c r="J34" s="36"/>
      <c r="K34" s="35">
        <v>0.23521059999999999</v>
      </c>
      <c r="L34" s="35">
        <v>-0.37363034000000001</v>
      </c>
      <c r="M34" s="35">
        <v>2.9230770000000001</v>
      </c>
    </row>
    <row r="35" spans="1:15" x14ac:dyDescent="0.2">
      <c r="A35" s="23" t="s">
        <v>147</v>
      </c>
      <c r="B35" s="24">
        <v>0.29053000000000001</v>
      </c>
      <c r="C35" s="25">
        <f t="shared" si="2"/>
        <v>108.07716000000001</v>
      </c>
      <c r="D35" s="23">
        <v>1.3261801</v>
      </c>
      <c r="E35" s="23">
        <v>7.6820792999999998</v>
      </c>
      <c r="F35" s="23">
        <v>-3.9361673599999998</v>
      </c>
      <c r="G35" s="23">
        <v>1.2434616999999999</v>
      </c>
      <c r="H35" s="23">
        <v>-0.31984806999999998</v>
      </c>
      <c r="K35" s="35">
        <v>0.29808760000000001</v>
      </c>
      <c r="L35" s="35">
        <v>-8.4209590000000001E-2</v>
      </c>
      <c r="M35" s="35">
        <v>3.0530970000000002</v>
      </c>
    </row>
    <row r="36" spans="1:15" x14ac:dyDescent="0.2">
      <c r="A36" s="23" t="s">
        <v>148</v>
      </c>
      <c r="B36" s="24">
        <v>0.11862</v>
      </c>
      <c r="C36" s="25">
        <f t="shared" si="2"/>
        <v>44.126640000000002</v>
      </c>
      <c r="D36" s="23">
        <v>5.9436757</v>
      </c>
      <c r="E36" s="23">
        <v>-7.6355196000000003</v>
      </c>
      <c r="F36" s="23">
        <v>3.57928997</v>
      </c>
      <c r="G36" s="23">
        <v>7.4922553000000001</v>
      </c>
      <c r="H36" s="23">
        <v>7.4616894699999996</v>
      </c>
      <c r="K36" s="35">
        <v>-0.48153580000000001</v>
      </c>
      <c r="L36" s="35">
        <v>0.40384534</v>
      </c>
      <c r="M36" s="35">
        <v>1.954545</v>
      </c>
    </row>
    <row r="37" spans="1:15" x14ac:dyDescent="0.2">
      <c r="D37" s="37"/>
      <c r="E37" s="35"/>
      <c r="F37" s="35"/>
      <c r="G37" s="35"/>
    </row>
    <row r="38" spans="1:15" x14ac:dyDescent="0.2">
      <c r="A38" s="45" t="s">
        <v>129</v>
      </c>
      <c r="B38" s="24">
        <v>0.10503</v>
      </c>
      <c r="C38" s="25">
        <f t="shared" si="2"/>
        <v>39.071159999999999</v>
      </c>
      <c r="D38" s="35">
        <v>0.2193891</v>
      </c>
      <c r="E38" s="35">
        <v>-2.3026916000000002</v>
      </c>
      <c r="F38" s="35">
        <v>0.350594287</v>
      </c>
      <c r="G38" s="23">
        <v>0.19949040000000001</v>
      </c>
      <c r="H38" s="23">
        <v>-1.9675120000000001E-2</v>
      </c>
      <c r="K38" s="35">
        <v>0.32830860000000001</v>
      </c>
      <c r="L38" s="35">
        <v>4.2920239999999998E-2</v>
      </c>
      <c r="M38" s="35">
        <v>2.5</v>
      </c>
    </row>
    <row r="39" spans="1:15" s="32" customFormat="1" x14ac:dyDescent="0.2">
      <c r="A39" s="46" t="s">
        <v>130</v>
      </c>
      <c r="B39" s="30">
        <v>7.7240000000000003E-2</v>
      </c>
      <c r="C39" s="31">
        <f t="shared" si="2"/>
        <v>28.733280000000001</v>
      </c>
      <c r="D39" s="32">
        <v>27.708819699999999</v>
      </c>
      <c r="E39" s="32">
        <v>-298.72856589999998</v>
      </c>
      <c r="F39" s="32">
        <v>34.973816958</v>
      </c>
      <c r="G39" s="32">
        <v>852.44278859999997</v>
      </c>
      <c r="H39" s="32">
        <v>756.79819738000003</v>
      </c>
      <c r="K39" s="38">
        <v>-0.37386550000000002</v>
      </c>
      <c r="L39" s="38">
        <v>8.3577239999999997E-2</v>
      </c>
      <c r="M39" s="38">
        <v>2.3666670000000001</v>
      </c>
      <c r="N39" s="39"/>
    </row>
    <row r="40" spans="1:15" x14ac:dyDescent="0.2">
      <c r="A40" s="45" t="s">
        <v>131</v>
      </c>
      <c r="B40" s="24">
        <v>2.8639999999999999E-2</v>
      </c>
      <c r="C40" s="25">
        <f t="shared" si="2"/>
        <v>10.65408</v>
      </c>
      <c r="D40" s="23">
        <v>-0.58546240000000005</v>
      </c>
      <c r="E40" s="23">
        <v>-0.67317839999999995</v>
      </c>
      <c r="F40" s="23">
        <v>1.217110769</v>
      </c>
      <c r="G40" s="23">
        <v>-1.6754396</v>
      </c>
      <c r="H40" s="23">
        <v>-6.410209E-2</v>
      </c>
      <c r="K40" s="35">
        <v>2.9524000000000002E-2</v>
      </c>
      <c r="L40" s="35">
        <v>0.61302255000000005</v>
      </c>
      <c r="M40" s="35">
        <v>2.1666669999999999</v>
      </c>
      <c r="N40" s="40"/>
    </row>
    <row r="41" spans="1:15" s="32" customFormat="1" x14ac:dyDescent="0.2">
      <c r="A41" s="46" t="s">
        <v>145</v>
      </c>
      <c r="B41" s="30">
        <v>3.031E-2</v>
      </c>
      <c r="C41" s="31">
        <f t="shared" si="2"/>
        <v>11.275320000000001</v>
      </c>
      <c r="D41" s="32">
        <v>5.8385119000000003</v>
      </c>
      <c r="E41" s="32">
        <v>1.6837252</v>
      </c>
      <c r="F41" s="32">
        <v>-4.5853849020000004</v>
      </c>
      <c r="G41" s="32">
        <v>-28.336590699999999</v>
      </c>
      <c r="H41" s="32">
        <v>11.244120710000001</v>
      </c>
      <c r="K41" s="38">
        <v>0.23304610000000001</v>
      </c>
      <c r="L41" s="38">
        <v>-7.1711460000000005E-2</v>
      </c>
      <c r="M41" s="38">
        <v>3.4</v>
      </c>
      <c r="N41" s="39"/>
    </row>
    <row r="42" spans="1:15" s="50" customFormat="1" x14ac:dyDescent="0.2">
      <c r="A42" s="48" t="s">
        <v>146</v>
      </c>
      <c r="B42" s="52">
        <v>0.27144000000000001</v>
      </c>
      <c r="C42" s="49">
        <f t="shared" si="2"/>
        <v>100.97568000000001</v>
      </c>
      <c r="D42" s="50">
        <v>-0.91630210000000001</v>
      </c>
      <c r="E42" s="50">
        <v>1.9662499</v>
      </c>
      <c r="F42" s="50">
        <v>-4.5315287000000003E-2</v>
      </c>
      <c r="G42" s="50">
        <v>0.40309440000000002</v>
      </c>
      <c r="H42" s="50">
        <v>2.6782920000000002E-2</v>
      </c>
      <c r="K42" s="51">
        <v>0.33662449999999999</v>
      </c>
      <c r="L42" s="51">
        <v>-0.43018097</v>
      </c>
      <c r="M42" s="51">
        <v>3.0204080000000002</v>
      </c>
    </row>
    <row r="43" spans="1:15" x14ac:dyDescent="0.2">
      <c r="A43" s="45" t="s">
        <v>147</v>
      </c>
      <c r="B43" s="24">
        <v>0.27956999999999999</v>
      </c>
      <c r="C43" s="25">
        <f t="shared" si="2"/>
        <v>104.00004</v>
      </c>
      <c r="D43" s="23">
        <v>1.1665354999999999</v>
      </c>
      <c r="E43" s="23">
        <v>8.6124498000000003</v>
      </c>
      <c r="F43" s="23">
        <v>-4.2980492220000004</v>
      </c>
      <c r="G43" s="35">
        <v>1.3878337999999999</v>
      </c>
      <c r="H43" s="35">
        <v>-0.48534180999999998</v>
      </c>
      <c r="K43" s="35">
        <v>0.30520720000000001</v>
      </c>
      <c r="L43" s="35">
        <v>-6.0765010000000001E-2</v>
      </c>
      <c r="M43" s="35">
        <v>3.045045</v>
      </c>
    </row>
    <row r="44" spans="1:15" x14ac:dyDescent="0.2">
      <c r="A44" s="45" t="s">
        <v>148</v>
      </c>
      <c r="B44" s="24">
        <v>0.10996</v>
      </c>
      <c r="C44" s="25">
        <f t="shared" si="2"/>
        <v>40.905120000000004</v>
      </c>
      <c r="D44" s="23">
        <v>2.2504762</v>
      </c>
      <c r="E44" s="23">
        <v>-3.7324407000000002</v>
      </c>
      <c r="F44" s="23">
        <v>1.4124592520000001</v>
      </c>
      <c r="G44" s="35">
        <v>4.4005285000000001</v>
      </c>
      <c r="H44" s="35">
        <v>4.4087141399999998</v>
      </c>
      <c r="K44" s="35">
        <v>-0.59057530000000003</v>
      </c>
      <c r="L44" s="35">
        <v>0.48722113</v>
      </c>
      <c r="M44" s="35">
        <v>1.825</v>
      </c>
      <c r="N44" s="36"/>
      <c r="O44" s="36" t="s">
        <v>141</v>
      </c>
    </row>
    <row r="45" spans="1:15" x14ac:dyDescent="0.2">
      <c r="A45" s="45" t="s">
        <v>149</v>
      </c>
      <c r="B45" s="24">
        <v>9.7799999999999998E-2</v>
      </c>
      <c r="C45" s="25">
        <f t="shared" si="2"/>
        <v>36.381599999999999</v>
      </c>
      <c r="D45" s="23">
        <v>-0.51497669999999995</v>
      </c>
      <c r="E45" s="23">
        <v>-0.88189390000000001</v>
      </c>
      <c r="F45" s="23">
        <v>8.1095790000000004E-3</v>
      </c>
      <c r="G45" s="35">
        <v>-0.94835170000000002</v>
      </c>
      <c r="H45" s="35">
        <v>3.9275579999999997E-2</v>
      </c>
      <c r="K45" s="35">
        <v>-0.26490409999999998</v>
      </c>
      <c r="L45" s="35">
        <v>-0.21468145999999999</v>
      </c>
      <c r="M45" s="35">
        <v>2.4137930000000001</v>
      </c>
      <c r="N45" s="36"/>
      <c r="O45" s="36"/>
    </row>
    <row r="46" spans="1:15" x14ac:dyDescent="0.2">
      <c r="K46" s="35"/>
      <c r="L46" s="35"/>
    </row>
    <row r="47" spans="1:15" s="43" customFormat="1" x14ac:dyDescent="0.2">
      <c r="B47" s="41"/>
      <c r="C47" s="42"/>
      <c r="H47" s="44"/>
      <c r="I47" s="47"/>
      <c r="J47" s="47"/>
      <c r="K47" s="47"/>
      <c r="L47" s="47"/>
    </row>
    <row r="48" spans="1:15" x14ac:dyDescent="0.2">
      <c r="H48" s="37"/>
      <c r="I48" s="35"/>
      <c r="J48" s="35"/>
      <c r="K48" s="35"/>
      <c r="L48" s="35"/>
    </row>
    <row r="49" spans="1:21" s="28" customFormat="1" x14ac:dyDescent="0.2">
      <c r="A49" s="23" t="s">
        <v>129</v>
      </c>
      <c r="B49" s="29">
        <v>1</v>
      </c>
      <c r="C49" s="27">
        <v>333</v>
      </c>
      <c r="D49" s="35">
        <v>-0.65139999999999998</v>
      </c>
      <c r="E49" s="35">
        <v>1.681</v>
      </c>
      <c r="F49" s="35">
        <v>-0.91439999999999999</v>
      </c>
      <c r="G49" s="35">
        <v>-5.4219999999999997E-2</v>
      </c>
      <c r="H49" s="35">
        <v>-0.67620000000000002</v>
      </c>
      <c r="K49" s="28">
        <v>0.1131438</v>
      </c>
      <c r="L49" s="28">
        <v>-6.6764110000000002E-2</v>
      </c>
      <c r="M49" s="28">
        <v>2.7238609999999999</v>
      </c>
      <c r="P49" s="34"/>
      <c r="Q49" s="34"/>
      <c r="R49" s="34"/>
      <c r="S49" s="34"/>
      <c r="T49" s="34"/>
      <c r="U49" s="34"/>
    </row>
    <row r="50" spans="1:21" x14ac:dyDescent="0.2">
      <c r="H50" s="37"/>
      <c r="I50" s="35"/>
      <c r="J50" s="35"/>
      <c r="K50" s="35"/>
      <c r="L50" s="35"/>
    </row>
    <row r="51" spans="1:21" x14ac:dyDescent="0.2">
      <c r="A51" s="23" t="s">
        <v>129</v>
      </c>
      <c r="B51" s="24">
        <v>0.37090000000000001</v>
      </c>
      <c r="C51" s="22">
        <f>B51*$C$49</f>
        <v>123.50970000000001</v>
      </c>
      <c r="D51" s="18">
        <v>1.0531843000000001</v>
      </c>
      <c r="E51" s="19">
        <v>-3.5738789999999998</v>
      </c>
      <c r="F51" s="19">
        <v>-3.3538180000000002E-3</v>
      </c>
      <c r="G51" s="19">
        <v>-1.120215</v>
      </c>
      <c r="H51" s="19">
        <v>-0.32345289999999999</v>
      </c>
      <c r="I51" s="35"/>
      <c r="J51" s="35"/>
      <c r="K51" s="18">
        <v>0.2328057</v>
      </c>
      <c r="L51" s="18">
        <v>-0.33728045000000001</v>
      </c>
      <c r="M51" s="18">
        <v>2.9035090000000001</v>
      </c>
    </row>
    <row r="52" spans="1:21" x14ac:dyDescent="0.2">
      <c r="A52" s="23" t="s">
        <v>130</v>
      </c>
      <c r="B52" s="24">
        <v>0.4677</v>
      </c>
      <c r="C52" s="22">
        <f t="shared" ref="C52:C53" si="3">B52*$C$49</f>
        <v>155.7441</v>
      </c>
      <c r="D52" s="23">
        <v>0.40967039999999999</v>
      </c>
      <c r="E52" s="23">
        <v>6.9222169999999998</v>
      </c>
      <c r="F52" s="35">
        <v>-2.6134298130000002</v>
      </c>
      <c r="G52" s="35">
        <v>1.040473</v>
      </c>
      <c r="H52" s="35">
        <v>-0.36017169999999998</v>
      </c>
      <c r="I52" s="20"/>
      <c r="J52" s="20"/>
      <c r="K52" s="18">
        <v>0.27162849999999999</v>
      </c>
      <c r="L52" s="18">
        <v>-6.1046709999999997E-2</v>
      </c>
      <c r="M52" s="18">
        <v>2.8787880000000001</v>
      </c>
      <c r="N52" s="36"/>
    </row>
    <row r="53" spans="1:21" x14ac:dyDescent="0.2">
      <c r="A53" s="23" t="s">
        <v>131</v>
      </c>
      <c r="B53" s="24">
        <v>0.16139999999999999</v>
      </c>
      <c r="C53" s="22">
        <f t="shared" si="3"/>
        <v>53.746199999999995</v>
      </c>
      <c r="D53" s="23">
        <v>-1.5528918</v>
      </c>
      <c r="E53" s="23">
        <v>3.007571</v>
      </c>
      <c r="F53" s="35">
        <v>-1.5539214180000001</v>
      </c>
      <c r="G53" s="35">
        <v>-2.0865499999999999</v>
      </c>
      <c r="H53" s="35">
        <v>-3.4246805999999999</v>
      </c>
      <c r="I53" s="20"/>
      <c r="J53" s="20"/>
      <c r="K53" s="18">
        <v>-0.40855350000000001</v>
      </c>
      <c r="L53" s="18">
        <v>0.41588736999999998</v>
      </c>
      <c r="M53" s="18">
        <v>1.924528</v>
      </c>
      <c r="N53" s="36"/>
      <c r="O53" s="35"/>
    </row>
    <row r="54" spans="1:21" x14ac:dyDescent="0.2">
      <c r="E54" s="21"/>
      <c r="F54" s="18"/>
      <c r="G54" s="18"/>
      <c r="H54" s="18"/>
      <c r="M54" s="35"/>
      <c r="N54" s="35"/>
    </row>
    <row r="55" spans="1:21" x14ac:dyDescent="0.2">
      <c r="E55" s="18"/>
      <c r="F55" s="18"/>
      <c r="G55" s="18"/>
      <c r="H55" s="18"/>
      <c r="M55" s="35"/>
      <c r="N55" s="35"/>
    </row>
    <row r="56" spans="1:21" x14ac:dyDescent="0.2">
      <c r="I56" s="14"/>
      <c r="J56" s="14"/>
      <c r="K56" s="15"/>
      <c r="L56" s="15" t="s">
        <v>133</v>
      </c>
      <c r="M56" s="15" t="s">
        <v>134</v>
      </c>
      <c r="N56" s="14" t="s">
        <v>135</v>
      </c>
      <c r="O56" s="14" t="s">
        <v>136</v>
      </c>
      <c r="P56" s="14" t="s">
        <v>141</v>
      </c>
    </row>
    <row r="57" spans="1:21" x14ac:dyDescent="0.2">
      <c r="E57" s="28"/>
      <c r="F57" s="28"/>
      <c r="G57" s="28"/>
      <c r="H57" s="28"/>
      <c r="I57" s="28"/>
      <c r="J57" s="28"/>
      <c r="K57" s="15"/>
      <c r="L57" s="15"/>
      <c r="M57" s="15"/>
      <c r="N57" s="14"/>
      <c r="O57" s="14"/>
      <c r="P57" s="14"/>
    </row>
    <row r="58" spans="1:21" x14ac:dyDescent="0.2">
      <c r="E58" s="18"/>
      <c r="F58" s="19"/>
      <c r="G58" s="19"/>
      <c r="H58" s="19"/>
      <c r="I58" s="19"/>
      <c r="J58" s="19"/>
      <c r="K58" s="16"/>
      <c r="L58" s="16"/>
      <c r="M58" s="16"/>
    </row>
    <row r="59" spans="1:21" x14ac:dyDescent="0.2">
      <c r="G59" s="35"/>
      <c r="H59" s="35"/>
      <c r="I59" s="35"/>
      <c r="J59" s="35"/>
      <c r="K59" s="16"/>
      <c r="L59" s="16"/>
      <c r="M59" s="16"/>
    </row>
    <row r="60" spans="1:21" x14ac:dyDescent="0.2">
      <c r="G60" s="35"/>
      <c r="H60" s="35"/>
      <c r="I60" s="35"/>
      <c r="J60" s="35"/>
      <c r="K60" s="16"/>
      <c r="L60" s="16"/>
      <c r="M60" s="16"/>
    </row>
    <row r="61" spans="1:21" x14ac:dyDescent="0.2">
      <c r="G61" s="37"/>
      <c r="H61" s="35"/>
      <c r="I61" s="15"/>
      <c r="J61" s="15"/>
      <c r="K61" s="17"/>
      <c r="L61" s="17"/>
      <c r="M61" s="17"/>
      <c r="N61"/>
      <c r="O61"/>
      <c r="P61"/>
    </row>
    <row r="62" spans="1:21" x14ac:dyDescent="0.2">
      <c r="G62" s="37"/>
      <c r="H62" s="35"/>
      <c r="I62" s="35"/>
      <c r="J62" s="35"/>
      <c r="K62" s="35"/>
      <c r="L62" s="35"/>
      <c r="M62" s="35"/>
      <c r="N62" s="35"/>
    </row>
  </sheetData>
  <mergeCells count="2">
    <mergeCell ref="D1:H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logitr_MNL (Preference)</vt:lpstr>
      <vt:lpstr>Apollo_MNL (Preference)</vt:lpstr>
      <vt:lpstr>MNL (WTP space)</vt:lpstr>
      <vt:lpstr>MNL WTP compare</vt:lpstr>
      <vt:lpstr>MXL (WTP space)_lessSD</vt:lpstr>
      <vt:lpstr>MXL (WTP space)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Iogansen, Xiatian (Assoc)</dc:creator>
  <cp:lastModifiedBy>Iogansen, Xiatian (Assoc)</cp:lastModifiedBy>
  <dcterms:created xsi:type="dcterms:W3CDTF">2025-10-30T03:04:52Z</dcterms:created>
  <dcterms:modified xsi:type="dcterms:W3CDTF">2025-11-11T21:46:25Z</dcterms:modified>
</cp:coreProperties>
</file>