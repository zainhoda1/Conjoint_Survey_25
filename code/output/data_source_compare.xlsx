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output/"/>
    </mc:Choice>
  </mc:AlternateContent>
  <xr:revisionPtr revIDLastSave="0" documentId="13_ncr:1_{64D2037E-A0B0-3045-A6A3-D333B8A8DF62}" xr6:coauthVersionLast="47" xr6:coauthVersionMax="47" xr10:uidLastSave="{00000000-0000-0000-0000-000000000000}"/>
  <bookViews>
    <workbookView xWindow="820" yWindow="660" windowWidth="30240" windowHeight="172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K8" i="1"/>
  <c r="K9" i="1"/>
  <c r="K10" i="1"/>
  <c r="K11" i="1"/>
  <c r="K12" i="1"/>
  <c r="K14" i="1"/>
  <c r="K16" i="1"/>
  <c r="G11" i="1"/>
  <c r="G12" i="1"/>
  <c r="G13" i="1"/>
  <c r="G14" i="1"/>
  <c r="G15" i="1"/>
  <c r="G16" i="1"/>
  <c r="G17" i="1"/>
  <c r="F12" i="1"/>
  <c r="H12" i="1" s="1"/>
  <c r="F13" i="1"/>
  <c r="K13" i="1" s="1"/>
  <c r="F14" i="1"/>
  <c r="H14" i="1" s="1"/>
  <c r="F15" i="1"/>
  <c r="K15" i="1" s="1"/>
  <c r="F16" i="1"/>
  <c r="H16" i="1" s="1"/>
  <c r="F17" i="1"/>
  <c r="F11" i="1"/>
  <c r="G2" i="1"/>
  <c r="G3" i="1"/>
  <c r="G4" i="1"/>
  <c r="G5" i="1"/>
  <c r="G6" i="1"/>
  <c r="G7" i="1"/>
  <c r="F3" i="1"/>
  <c r="K3" i="1" s="1"/>
  <c r="F4" i="1"/>
  <c r="K4" i="1" s="1"/>
  <c r="F5" i="1"/>
  <c r="K5" i="1" s="1"/>
  <c r="F6" i="1"/>
  <c r="K6" i="1" s="1"/>
  <c r="F7" i="1"/>
  <c r="K7" i="1" s="1"/>
  <c r="F2" i="1"/>
  <c r="H2" i="1" s="1"/>
  <c r="H8" i="1"/>
  <c r="H9" i="1"/>
  <c r="H10" i="1"/>
  <c r="H11" i="1"/>
  <c r="H4" i="2"/>
  <c r="H3" i="2"/>
  <c r="H2" i="2"/>
  <c r="H18" i="1"/>
  <c r="H19" i="1"/>
  <c r="H20" i="1"/>
  <c r="H21" i="1"/>
  <c r="H22" i="1"/>
  <c r="H23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24" i="1"/>
  <c r="H13" i="1" l="1"/>
  <c r="H7" i="1"/>
  <c r="H6" i="1"/>
  <c r="H5" i="1"/>
  <c r="H4" i="1"/>
  <c r="K2" i="1"/>
  <c r="H3" i="1"/>
  <c r="H17" i="1"/>
  <c r="K17" i="1"/>
  <c r="H15" i="1"/>
</calcChain>
</file>

<file path=xl/sharedStrings.xml><?xml version="1.0" encoding="utf-8"?>
<sst xmlns="http://schemas.openxmlformats.org/spreadsheetml/2006/main" count="231" uniqueCount="141">
  <si>
    <t>variable</t>
  </si>
  <si>
    <t>level</t>
  </si>
  <si>
    <t>n</t>
  </si>
  <si>
    <t>dynata.x</t>
  </si>
  <si>
    <t>prolific.x</t>
  </si>
  <si>
    <t>dynata.y</t>
  </si>
  <si>
    <t>prolific.y</t>
  </si>
  <si>
    <t>gender_cate</t>
  </si>
  <si>
    <t>ethnicity_cate</t>
  </si>
  <si>
    <t>race_cate</t>
  </si>
  <si>
    <t>education_cate</t>
  </si>
  <si>
    <t>student_cate</t>
  </si>
  <si>
    <t>employment_cate</t>
  </si>
  <si>
    <t>hhtenure_cate</t>
  </si>
  <si>
    <t>hhtype_cate</t>
  </si>
  <si>
    <t>ATT_EVB_environment</t>
  </si>
  <si>
    <t>ATT_EVB_function</t>
  </si>
  <si>
    <t>ATT_techsavvy</t>
  </si>
  <si>
    <t>ATT_risktaker</t>
  </si>
  <si>
    <t>ATT_climate</t>
  </si>
  <si>
    <t>ATT_political</t>
  </si>
  <si>
    <t>ATT_voting</t>
  </si>
  <si>
    <t>knowledge_gas</t>
  </si>
  <si>
    <t>knowledge_plugin</t>
  </si>
  <si>
    <t>knowledge_ev</t>
  </si>
  <si>
    <t>knowledge_subsidy</t>
  </si>
  <si>
    <t>Veh_hh_fuel</t>
  </si>
  <si>
    <t>EV_charger</t>
  </si>
  <si>
    <t>EV_neighbor</t>
  </si>
  <si>
    <t>female</t>
  </si>
  <si>
    <t>male</t>
  </si>
  <si>
    <t>gender_other</t>
  </si>
  <si>
    <t>hispanic</t>
  </si>
  <si>
    <t>non-hispanic</t>
  </si>
  <si>
    <t>White only</t>
  </si>
  <si>
    <t>African American only</t>
  </si>
  <si>
    <t>race_other</t>
  </si>
  <si>
    <t>high school or under</t>
  </si>
  <si>
    <t>some college</t>
  </si>
  <si>
    <t>bachelor</t>
  </si>
  <si>
    <t>master or above</t>
  </si>
  <si>
    <t>student</t>
  </si>
  <si>
    <t>non-student</t>
  </si>
  <si>
    <t>stu_prefer not to answer</t>
  </si>
  <si>
    <t>full-time</t>
  </si>
  <si>
    <t>part-time</t>
  </si>
  <si>
    <t>not employed</t>
  </si>
  <si>
    <t>employ_prefer not to answer</t>
  </si>
  <si>
    <t>own</t>
  </si>
  <si>
    <t>rent</t>
  </si>
  <si>
    <t>hhtenure_other</t>
  </si>
  <si>
    <t>detached single family house</t>
  </si>
  <si>
    <t>attached single family house</t>
  </si>
  <si>
    <t>apartment</t>
  </si>
  <si>
    <t>hhtype_other</t>
  </si>
  <si>
    <t>EVBe_strongly disagree</t>
  </si>
  <si>
    <t>EVBe_somewhat disagree</t>
  </si>
  <si>
    <t>EVBe_neither agree nor disagree</t>
  </si>
  <si>
    <t>EVBe_somewhat agree</t>
  </si>
  <si>
    <t>EVBe_strongly agree</t>
  </si>
  <si>
    <t>EVBf_strongly disagree</t>
  </si>
  <si>
    <t>EVBf_somewhat disagree</t>
  </si>
  <si>
    <t>EVBf_neither agree nor disagree</t>
  </si>
  <si>
    <t>EVBf_somewhat agree</t>
  </si>
  <si>
    <t>EVBf_strongly agree</t>
  </si>
  <si>
    <t>ATTt_strongly disagree</t>
  </si>
  <si>
    <t>ATTt_somewhat disagree</t>
  </si>
  <si>
    <t>ATTt_neither agree nor disagree</t>
  </si>
  <si>
    <t>ATTt_somewhat agree</t>
  </si>
  <si>
    <t>ATTt_strongly agree</t>
  </si>
  <si>
    <t>ATTr_strongly disagree</t>
  </si>
  <si>
    <t>ATTr_somewhat disagree</t>
  </si>
  <si>
    <t>ATTr_neither agree nor disagree</t>
  </si>
  <si>
    <t>ATTr_somewhat agree</t>
  </si>
  <si>
    <t>ATTr_strongly agree</t>
  </si>
  <si>
    <t>not at all</t>
  </si>
  <si>
    <t>a little</t>
  </si>
  <si>
    <t>a moderate amount</t>
  </si>
  <si>
    <t>a lot</t>
  </si>
  <si>
    <t>a great_deal</t>
  </si>
  <si>
    <t>very conservative</t>
  </si>
  <si>
    <t>conservative</t>
  </si>
  <si>
    <t>moderate</t>
  </si>
  <si>
    <t>liberal</t>
  </si>
  <si>
    <t>very liberal</t>
  </si>
  <si>
    <t>other</t>
  </si>
  <si>
    <t>political_prefer not to answer</t>
  </si>
  <si>
    <t>Democratic</t>
  </si>
  <si>
    <t>Republican</t>
  </si>
  <si>
    <t>I am independent</t>
  </si>
  <si>
    <t>voting_prefer not to answer</t>
  </si>
  <si>
    <t>gas_no knowledge</t>
  </si>
  <si>
    <t>gas_partial knowledge</t>
  </si>
  <si>
    <t>gas_full knowledge</t>
  </si>
  <si>
    <t>plugin_no knowledge</t>
  </si>
  <si>
    <t>plugin_partial knowledge</t>
  </si>
  <si>
    <t>plugin_full knowledge</t>
  </si>
  <si>
    <t>ev_no knowledge</t>
  </si>
  <si>
    <t>ev_full knowledge</t>
  </si>
  <si>
    <t>subsidy_no knowledge</t>
  </si>
  <si>
    <t>subsidy_full knowledge</t>
  </si>
  <si>
    <t>ICEV-only</t>
  </si>
  <si>
    <t>EV-only</t>
  </si>
  <si>
    <t>EV-mixed-fuel</t>
  </si>
  <si>
    <t>Vehfuel_other</t>
  </si>
  <si>
    <t>EVc_no</t>
  </si>
  <si>
    <t>EVc_yes</t>
  </si>
  <si>
    <t>EVc_not sure</t>
  </si>
  <si>
    <t>EVn_no</t>
  </si>
  <si>
    <t>EVn_yes</t>
  </si>
  <si>
    <t>EVn_not sure</t>
  </si>
  <si>
    <t>diff</t>
  </si>
  <si>
    <t>Variables</t>
  </si>
  <si>
    <t>age_num</t>
  </si>
  <si>
    <t>hhincome_num</t>
  </si>
  <si>
    <t>hhsize_num</t>
  </si>
  <si>
    <t>FA_EV_benefit</t>
  </si>
  <si>
    <t>FA_EV_anxiety</t>
  </si>
  <si>
    <t>Veh_hh_count</t>
  </si>
  <si>
    <t>Showing 1 to 6 of 6 entries, 2 total columns</t>
  </si>
  <si>
    <t>dynata</t>
  </si>
  <si>
    <t>prolific</t>
  </si>
  <si>
    <t>Showing 1 to 6 of 6 entries, 3 total columns</t>
  </si>
  <si>
    <t>Population</t>
  </si>
  <si>
    <t>age_cate</t>
  </si>
  <si>
    <t>18 - 24</t>
  </si>
  <si>
    <t>25 - 34</t>
  </si>
  <si>
    <t>35 - 44</t>
  </si>
  <si>
    <t>45 - 54</t>
  </si>
  <si>
    <t>55 - 64</t>
  </si>
  <si>
    <t>65+</t>
  </si>
  <si>
    <t>income_cate</t>
  </si>
  <si>
    <t>&lt; $15,000</t>
  </si>
  <si>
    <t>$15,000 - $24,999</t>
  </si>
  <si>
    <t>$25,000 - $49,999</t>
  </si>
  <si>
    <t>$50,000 - $74,999</t>
  </si>
  <si>
    <t>$75,000 - $99,999"</t>
  </si>
  <si>
    <t>$100,000 - $149,999</t>
  </si>
  <si>
    <t>$150,000+</t>
  </si>
  <si>
    <t>dynata.z</t>
  </si>
  <si>
    <t>prolific.z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</si>
</sst>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indexed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indexed="8"/>
      <name val="Aptos Narrow"/>
      <family val="2"/>
      <scheme val="minor"/>
    </font>
    <font>
      <sz val="12"/>
      <color rgb="FFC00000"/>
      <name val="Aptos Narrow"/>
      <family val="2"/>
      <scheme val="minor"/>
    </font>
    <font>
      <b/>
      <sz val="11"/>
      <color rgb="FFFFFFFF"/>
      <name val="Lucida Grande"/>
      <family val="2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sz val="12"/>
      <color theme="3" tint="9.9978637043366805E-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9" fontId="3" fillId="0" borderId="0" xfId="1" applyFont="1"/>
    <xf numFmtId="0" fontId="4" fillId="0" borderId="0" xfId="0" applyFont="1"/>
    <xf numFmtId="9" fontId="4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7" fillId="0" borderId="0" xfId="0" applyNumberFormat="1" applyFont="1"/>
    <xf numFmtId="2" fontId="4" fillId="0" borderId="0" xfId="0" applyNumberFormat="1" applyFont="1"/>
    <xf numFmtId="9" fontId="4" fillId="0" borderId="0" xfId="1" applyFont="1"/>
    <xf numFmtId="2" fontId="4" fillId="0" borderId="0" xfId="1" applyNumberFormat="1" applyFont="1"/>
    <xf numFmtId="9" fontId="7" fillId="0" borderId="0" xfId="1" applyFont="1"/>
    <xf numFmtId="9" fontId="1" fillId="0" borderId="0" xfId="1" applyFont="1"/>
    <xf numFmtId="9" fontId="8" fillId="0" borderId="0" xfId="1" applyFont="1"/>
    <xf numFmtId="9" fontId="8" fillId="0" borderId="0" xfId="0" applyNumberFormat="1" applyFont="1"/>
    <xf numFmtId="0" fontId="8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3"/>
  <sheetViews>
    <sheetView tabSelected="1" zoomScale="167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8" sqref="A8:XFD10"/>
    </sheetView>
  </sheetViews>
  <sheetFormatPr baseColWidth="10" defaultColWidth="8.83203125" defaultRowHeight="16" x14ac:dyDescent="0.2"/>
  <cols>
    <col min="1" max="1" width="17.83203125" style="1" customWidth="1"/>
    <col min="2" max="2" width="23" style="1" customWidth="1"/>
    <col min="3" max="3" width="12.1640625" style="1" bestFit="1" customWidth="1"/>
    <col min="4" max="5" width="8.83203125" style="1"/>
    <col min="6" max="7" width="8.83203125" style="2"/>
    <col min="8" max="8" width="10" style="3" customWidth="1"/>
    <col min="9" max="9" width="8.83203125" style="1"/>
    <col min="10" max="10" width="10.6640625" style="2" customWidth="1"/>
    <col min="11" max="12" width="8.83203125" style="16"/>
    <col min="13" max="16384" width="8.83203125" style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111</v>
      </c>
      <c r="J1" s="2" t="s">
        <v>123</v>
      </c>
      <c r="K1" s="14" t="s">
        <v>139</v>
      </c>
      <c r="L1" s="14" t="s">
        <v>140</v>
      </c>
    </row>
    <row r="2" spans="1:12" x14ac:dyDescent="0.2">
      <c r="A2" s="1" t="s">
        <v>124</v>
      </c>
      <c r="B2" s="7" t="s">
        <v>125</v>
      </c>
      <c r="C2" s="8"/>
      <c r="D2" s="1">
        <v>31</v>
      </c>
      <c r="E2" s="1">
        <v>45</v>
      </c>
      <c r="F2" s="12">
        <f>D2/SUM(D$2:D$7)</f>
        <v>7.0776255707762553E-2</v>
      </c>
      <c r="G2" s="12">
        <f>E2/SUM(E$2:E$7)</f>
        <v>7.6791808873720141E-2</v>
      </c>
      <c r="H2" s="10">
        <f t="shared" ref="H2:H17" si="0">F2-G2</f>
        <v>-6.0155531659575878E-3</v>
      </c>
      <c r="J2" s="2">
        <v>0.18</v>
      </c>
      <c r="K2" s="15">
        <f>F2-$J2</f>
        <v>-0.10922374429223744</v>
      </c>
      <c r="L2" s="15">
        <f>G2-$J2</f>
        <v>-0.10320819112627985</v>
      </c>
    </row>
    <row r="3" spans="1:12" x14ac:dyDescent="0.2">
      <c r="A3" s="1" t="s">
        <v>124</v>
      </c>
      <c r="B3" s="7" t="s">
        <v>126</v>
      </c>
      <c r="C3" s="8"/>
      <c r="D3" s="1">
        <v>57</v>
      </c>
      <c r="E3" s="1">
        <v>174</v>
      </c>
      <c r="F3" s="12">
        <f t="shared" ref="F3:G7" si="1">D3/SUM(D$2:D$7)</f>
        <v>0.13013698630136986</v>
      </c>
      <c r="G3" s="12">
        <f t="shared" si="1"/>
        <v>0.29692832764505117</v>
      </c>
      <c r="H3" s="10">
        <f t="shared" si="0"/>
        <v>-0.16679134134368132</v>
      </c>
      <c r="J3" s="2">
        <v>0.17</v>
      </c>
      <c r="K3" s="15">
        <f>F3-$J3</f>
        <v>-3.9863013698630156E-2</v>
      </c>
      <c r="L3" s="15">
        <f>G3-$J3</f>
        <v>0.12692832764505116</v>
      </c>
    </row>
    <row r="4" spans="1:12" x14ac:dyDescent="0.2">
      <c r="A4" s="1" t="s">
        <v>124</v>
      </c>
      <c r="B4" s="7" t="s">
        <v>127</v>
      </c>
      <c r="C4" s="8"/>
      <c r="D4" s="1">
        <v>71</v>
      </c>
      <c r="E4" s="1">
        <v>158</v>
      </c>
      <c r="F4" s="12">
        <f t="shared" si="1"/>
        <v>0.16210045662100456</v>
      </c>
      <c r="G4" s="12">
        <f t="shared" si="1"/>
        <v>0.2696245733788396</v>
      </c>
      <c r="H4" s="10">
        <f t="shared" si="0"/>
        <v>-0.10752411675783505</v>
      </c>
      <c r="J4" s="2">
        <v>0.17</v>
      </c>
      <c r="K4" s="15">
        <f>F4-$J4</f>
        <v>-7.899543378995455E-3</v>
      </c>
      <c r="L4" s="15">
        <f>G4-$J4</f>
        <v>9.9624573378839593E-2</v>
      </c>
    </row>
    <row r="5" spans="1:12" x14ac:dyDescent="0.2">
      <c r="A5" s="1" t="s">
        <v>124</v>
      </c>
      <c r="B5" s="7" t="s">
        <v>128</v>
      </c>
      <c r="C5" s="8"/>
      <c r="D5" s="1">
        <v>102</v>
      </c>
      <c r="E5" s="1">
        <v>117</v>
      </c>
      <c r="F5" s="12">
        <f t="shared" si="1"/>
        <v>0.23287671232876711</v>
      </c>
      <c r="G5" s="12">
        <f t="shared" si="1"/>
        <v>0.19965870307167236</v>
      </c>
      <c r="H5" s="10">
        <f t="shared" si="0"/>
        <v>3.3218009257094755E-2</v>
      </c>
      <c r="J5" s="2">
        <v>0.18</v>
      </c>
      <c r="K5" s="15">
        <f>F5-$J5</f>
        <v>5.2876712328767117E-2</v>
      </c>
      <c r="L5" s="15">
        <f>G5-$J5</f>
        <v>1.9658703071672362E-2</v>
      </c>
    </row>
    <row r="6" spans="1:12" x14ac:dyDescent="0.2">
      <c r="A6" s="1" t="s">
        <v>124</v>
      </c>
      <c r="B6" s="7" t="s">
        <v>129</v>
      </c>
      <c r="C6" s="8"/>
      <c r="D6" s="1">
        <v>78</v>
      </c>
      <c r="E6" s="1">
        <v>66</v>
      </c>
      <c r="F6" s="12">
        <f t="shared" si="1"/>
        <v>0.17808219178082191</v>
      </c>
      <c r="G6" s="12">
        <f t="shared" si="1"/>
        <v>0.11262798634812286</v>
      </c>
      <c r="H6" s="10">
        <f t="shared" si="0"/>
        <v>6.5454205432699045E-2</v>
      </c>
      <c r="J6" s="2">
        <v>0.14000000000000001</v>
      </c>
      <c r="K6" s="15">
        <f>F6-$J6</f>
        <v>3.8082191780821895E-2</v>
      </c>
      <c r="L6" s="15">
        <f>G6-$J6</f>
        <v>-2.737201365187715E-2</v>
      </c>
    </row>
    <row r="7" spans="1:12" x14ac:dyDescent="0.2">
      <c r="A7" s="1" t="s">
        <v>124</v>
      </c>
      <c r="B7" s="7" t="s">
        <v>130</v>
      </c>
      <c r="C7" s="8"/>
      <c r="D7" s="1">
        <v>99</v>
      </c>
      <c r="E7" s="1">
        <v>26</v>
      </c>
      <c r="F7" s="12">
        <f t="shared" si="1"/>
        <v>0.22602739726027396</v>
      </c>
      <c r="G7" s="12">
        <f t="shared" si="1"/>
        <v>4.4368600682593858E-2</v>
      </c>
      <c r="H7" s="10">
        <f t="shared" si="0"/>
        <v>0.18165879657768011</v>
      </c>
      <c r="J7" s="2">
        <v>0.16</v>
      </c>
      <c r="K7" s="15">
        <f>F7-$J7</f>
        <v>6.6027397260273957E-2</v>
      </c>
      <c r="L7" s="15">
        <f>G7-$J7</f>
        <v>-0.11563139931740615</v>
      </c>
    </row>
    <row r="8" spans="1:12" x14ac:dyDescent="0.2">
      <c r="A8" s="1" t="s">
        <v>7</v>
      </c>
      <c r="B8" s="1" t="s">
        <v>29</v>
      </c>
      <c r="C8" s="8"/>
      <c r="D8" s="1">
        <v>259</v>
      </c>
      <c r="E8" s="1">
        <v>367</v>
      </c>
      <c r="F8" s="2">
        <v>0.59</v>
      </c>
      <c r="G8" s="2">
        <v>0.624</v>
      </c>
      <c r="H8" s="10">
        <f t="shared" si="0"/>
        <v>-3.400000000000003E-2</v>
      </c>
      <c r="J8" s="2">
        <v>0.51</v>
      </c>
      <c r="K8" s="15">
        <f>F8-$J8</f>
        <v>7.999999999999996E-2</v>
      </c>
      <c r="L8" s="15">
        <f>G8-$J8</f>
        <v>0.11399999999999999</v>
      </c>
    </row>
    <row r="9" spans="1:12" x14ac:dyDescent="0.2">
      <c r="A9" s="1" t="s">
        <v>7</v>
      </c>
      <c r="B9" s="1" t="s">
        <v>30</v>
      </c>
      <c r="C9" s="8"/>
      <c r="D9" s="1">
        <v>172</v>
      </c>
      <c r="E9" s="1">
        <v>209</v>
      </c>
      <c r="F9" s="2">
        <v>0.39200000000000002</v>
      </c>
      <c r="G9" s="2">
        <v>0.35499999999999998</v>
      </c>
      <c r="H9" s="10">
        <f t="shared" si="0"/>
        <v>3.7000000000000033E-2</v>
      </c>
      <c r="J9" s="2">
        <v>0.49</v>
      </c>
      <c r="K9" s="15">
        <f>F9-$J9</f>
        <v>-9.7999999999999976E-2</v>
      </c>
      <c r="L9" s="15">
        <f>G9-$J9</f>
        <v>-0.13500000000000001</v>
      </c>
    </row>
    <row r="10" spans="1:12" x14ac:dyDescent="0.2">
      <c r="A10" s="1" t="s">
        <v>7</v>
      </c>
      <c r="B10" s="1" t="s">
        <v>31</v>
      </c>
      <c r="C10" s="8"/>
      <c r="D10" s="1">
        <v>8</v>
      </c>
      <c r="E10" s="1">
        <v>12</v>
      </c>
      <c r="F10" s="2">
        <v>1.7999999999999999E-2</v>
      </c>
      <c r="G10" s="2">
        <v>0.02</v>
      </c>
      <c r="H10" s="10">
        <f t="shared" si="0"/>
        <v>-2.0000000000000018E-3</v>
      </c>
      <c r="J10" s="2">
        <v>0</v>
      </c>
      <c r="K10" s="15">
        <f>F10-$J10</f>
        <v>1.7999999999999999E-2</v>
      </c>
      <c r="L10" s="15">
        <f>G10-$J10</f>
        <v>0.02</v>
      </c>
    </row>
    <row r="11" spans="1:12" x14ac:dyDescent="0.2">
      <c r="A11" s="1" t="s">
        <v>131</v>
      </c>
      <c r="B11" s="7" t="s">
        <v>132</v>
      </c>
      <c r="C11" s="8"/>
      <c r="D11" s="1">
        <v>68</v>
      </c>
      <c r="E11" s="1">
        <v>50</v>
      </c>
      <c r="F11" s="12">
        <f>D11/SUM(D$11:D$17)</f>
        <v>0.15489749430523919</v>
      </c>
      <c r="G11" s="12">
        <f>E11/SUM(E$11:E$17)</f>
        <v>8.4602368866328256E-2</v>
      </c>
      <c r="H11" s="10">
        <f t="shared" si="0"/>
        <v>7.0295125438910935E-2</v>
      </c>
      <c r="J11" s="2">
        <v>0.12</v>
      </c>
      <c r="K11" s="15">
        <f>F11-$J11</f>
        <v>3.4897494305239196E-2</v>
      </c>
      <c r="L11" s="15">
        <f>G11-$J11</f>
        <v>-3.5397631133671739E-2</v>
      </c>
    </row>
    <row r="12" spans="1:12" x14ac:dyDescent="0.2">
      <c r="A12" s="1" t="s">
        <v>131</v>
      </c>
      <c r="B12" s="1" t="s">
        <v>133</v>
      </c>
      <c r="C12" s="8"/>
      <c r="D12" s="1">
        <v>59</v>
      </c>
      <c r="E12" s="1">
        <v>52</v>
      </c>
      <c r="F12" s="12">
        <f t="shared" ref="F12:G17" si="2">D12/SUM(D$11:D$17)</f>
        <v>0.13439635535307518</v>
      </c>
      <c r="G12" s="12">
        <f t="shared" si="2"/>
        <v>8.7986463620981392E-2</v>
      </c>
      <c r="H12" s="10">
        <f t="shared" si="0"/>
        <v>4.6409891732093783E-2</v>
      </c>
      <c r="J12" s="2">
        <v>0.1</v>
      </c>
      <c r="K12" s="15">
        <f>F12-$J12</f>
        <v>3.439635535307517E-2</v>
      </c>
      <c r="L12" s="15">
        <f>G12-$J12</f>
        <v>-1.2013536379018613E-2</v>
      </c>
    </row>
    <row r="13" spans="1:12" x14ac:dyDescent="0.2">
      <c r="A13" s="1" t="s">
        <v>131</v>
      </c>
      <c r="B13" s="1" t="s">
        <v>134</v>
      </c>
      <c r="C13" s="8"/>
      <c r="D13" s="1">
        <v>100</v>
      </c>
      <c r="E13" s="1">
        <v>104</v>
      </c>
      <c r="F13" s="12">
        <f t="shared" si="2"/>
        <v>0.22779043280182232</v>
      </c>
      <c r="G13" s="12">
        <f t="shared" si="2"/>
        <v>0.17597292724196278</v>
      </c>
      <c r="H13" s="10">
        <f t="shared" si="0"/>
        <v>5.1817505559859534E-2</v>
      </c>
      <c r="J13" s="2">
        <v>0.23</v>
      </c>
      <c r="K13" s="15">
        <f>F13-$J13</f>
        <v>-2.2095671981776921E-3</v>
      </c>
      <c r="L13" s="15">
        <f>G13-$J13</f>
        <v>-5.4027072758037226E-2</v>
      </c>
    </row>
    <row r="14" spans="1:12" x14ac:dyDescent="0.2">
      <c r="A14" s="1" t="s">
        <v>131</v>
      </c>
      <c r="B14" s="1" t="s">
        <v>135</v>
      </c>
      <c r="C14" s="8"/>
      <c r="D14" s="1">
        <v>104</v>
      </c>
      <c r="E14" s="1">
        <v>131</v>
      </c>
      <c r="F14" s="12">
        <f t="shared" si="2"/>
        <v>0.23690205011389523</v>
      </c>
      <c r="G14" s="12">
        <f t="shared" si="2"/>
        <v>0.22165820642978004</v>
      </c>
      <c r="H14" s="10">
        <f t="shared" si="0"/>
        <v>1.5243843684115188E-2</v>
      </c>
      <c r="J14" s="2">
        <v>0.18</v>
      </c>
      <c r="K14" s="15">
        <f>F14-$J14</f>
        <v>5.6902050113895236E-2</v>
      </c>
      <c r="L14" s="15">
        <f>G14-$J14</f>
        <v>4.1658206429780048E-2</v>
      </c>
    </row>
    <row r="15" spans="1:12" x14ac:dyDescent="0.2">
      <c r="A15" s="1" t="s">
        <v>131</v>
      </c>
      <c r="B15" s="1" t="s">
        <v>136</v>
      </c>
      <c r="C15" s="8"/>
      <c r="D15" s="1">
        <v>24</v>
      </c>
      <c r="E15" s="1">
        <v>58</v>
      </c>
      <c r="F15" s="12">
        <f t="shared" si="2"/>
        <v>5.4669703872437359E-2</v>
      </c>
      <c r="G15" s="12">
        <f t="shared" si="2"/>
        <v>9.8138747884940772E-2</v>
      </c>
      <c r="H15" s="10">
        <f t="shared" si="0"/>
        <v>-4.3469044012503413E-2</v>
      </c>
      <c r="J15" s="2">
        <v>0.12</v>
      </c>
      <c r="K15" s="15">
        <f>F15-$J15</f>
        <v>-6.5330296127562637E-2</v>
      </c>
      <c r="L15" s="15">
        <f>G15-$J15</f>
        <v>-2.1861252115059224E-2</v>
      </c>
    </row>
    <row r="16" spans="1:12" x14ac:dyDescent="0.2">
      <c r="A16" s="1" t="s">
        <v>131</v>
      </c>
      <c r="B16" s="1" t="s">
        <v>137</v>
      </c>
      <c r="C16" s="8"/>
      <c r="D16" s="1">
        <v>51</v>
      </c>
      <c r="E16" s="1">
        <v>106</v>
      </c>
      <c r="F16" s="12">
        <f t="shared" si="2"/>
        <v>0.11617312072892938</v>
      </c>
      <c r="G16" s="12">
        <f t="shared" si="2"/>
        <v>0.17935702199661591</v>
      </c>
      <c r="H16" s="10">
        <f t="shared" si="0"/>
        <v>-6.3183901267686526E-2</v>
      </c>
      <c r="J16" s="2">
        <v>0.13</v>
      </c>
      <c r="K16" s="15">
        <f>F16-$J16</f>
        <v>-1.3826879271070625E-2</v>
      </c>
      <c r="L16" s="15">
        <f>G16-$J16</f>
        <v>4.9357021996615902E-2</v>
      </c>
    </row>
    <row r="17" spans="1:12" x14ac:dyDescent="0.2">
      <c r="A17" s="1" t="s">
        <v>131</v>
      </c>
      <c r="B17" s="1" t="s">
        <v>138</v>
      </c>
      <c r="C17" s="8"/>
      <c r="D17" s="1">
        <v>33</v>
      </c>
      <c r="E17" s="1">
        <v>90</v>
      </c>
      <c r="F17" s="12">
        <f t="shared" si="2"/>
        <v>7.5170842824601361E-2</v>
      </c>
      <c r="G17" s="12">
        <f t="shared" si="2"/>
        <v>0.15228426395939088</v>
      </c>
      <c r="H17" s="10">
        <f t="shared" si="0"/>
        <v>-7.7113421134789514E-2</v>
      </c>
      <c r="J17" s="2">
        <v>0.11</v>
      </c>
      <c r="K17" s="15">
        <f>F17-$J17</f>
        <v>-3.482915717539864E-2</v>
      </c>
      <c r="L17" s="15">
        <f>G17-$J17</f>
        <v>4.2284263959390875E-2</v>
      </c>
    </row>
    <row r="18" spans="1:12" x14ac:dyDescent="0.2">
      <c r="B18" s="7" t="s">
        <v>113</v>
      </c>
      <c r="C18" s="8">
        <v>44.588999999999999</v>
      </c>
      <c r="F18" s="7">
        <v>49.872</v>
      </c>
      <c r="G18" s="7">
        <v>40.64</v>
      </c>
      <c r="H18" s="11">
        <f t="shared" ref="H18:H23" si="3">F18-G18</f>
        <v>9.2319999999999993</v>
      </c>
      <c r="J18" s="13"/>
    </row>
    <row r="19" spans="1:12" x14ac:dyDescent="0.2">
      <c r="B19" s="7" t="s">
        <v>114</v>
      </c>
      <c r="C19" s="8">
        <v>73669.315000000002</v>
      </c>
      <c r="F19" s="7">
        <v>61148.491999999998</v>
      </c>
      <c r="G19" s="7">
        <v>83038.194000000003</v>
      </c>
      <c r="H19" s="9">
        <f t="shared" si="3"/>
        <v>-21889.702000000005</v>
      </c>
      <c r="J19" s="13"/>
    </row>
    <row r="20" spans="1:12" x14ac:dyDescent="0.2">
      <c r="B20" s="7" t="s">
        <v>115</v>
      </c>
      <c r="C20" s="8">
        <v>2.7970000000000002</v>
      </c>
      <c r="D20" s="5" t="s">
        <v>2</v>
      </c>
      <c r="F20" s="7">
        <v>2.6509999999999998</v>
      </c>
      <c r="G20" s="7">
        <v>2.9049999999999998</v>
      </c>
      <c r="H20" s="9">
        <f t="shared" si="3"/>
        <v>-0.254</v>
      </c>
      <c r="J20" s="13"/>
    </row>
    <row r="21" spans="1:12" x14ac:dyDescent="0.2">
      <c r="B21" s="7" t="s">
        <v>116</v>
      </c>
      <c r="C21" s="8">
        <v>0</v>
      </c>
      <c r="D21" s="5"/>
      <c r="F21" s="7">
        <v>-0.161</v>
      </c>
      <c r="G21" s="7">
        <v>0.12</v>
      </c>
      <c r="H21" s="9">
        <f t="shared" si="3"/>
        <v>-0.28100000000000003</v>
      </c>
    </row>
    <row r="22" spans="1:12" x14ac:dyDescent="0.2">
      <c r="B22" s="7" t="s">
        <v>117</v>
      </c>
      <c r="C22" s="8">
        <v>0</v>
      </c>
      <c r="F22" s="7">
        <v>-0.23</v>
      </c>
      <c r="G22" s="7">
        <v>0.17100000000000001</v>
      </c>
      <c r="H22" s="9">
        <f t="shared" si="3"/>
        <v>-0.40100000000000002</v>
      </c>
    </row>
    <row r="23" spans="1:12" x14ac:dyDescent="0.2">
      <c r="B23" s="7" t="s">
        <v>118</v>
      </c>
      <c r="C23" s="8">
        <v>1.778</v>
      </c>
      <c r="F23" s="7">
        <v>1.6060000000000001</v>
      </c>
      <c r="G23" s="7">
        <v>1.905</v>
      </c>
      <c r="H23" s="9">
        <f t="shared" si="3"/>
        <v>-0.29899999999999993</v>
      </c>
    </row>
    <row r="24" spans="1:12" x14ac:dyDescent="0.2">
      <c r="A24" s="1" t="s">
        <v>7</v>
      </c>
      <c r="B24" s="1" t="s">
        <v>29</v>
      </c>
      <c r="C24" s="1">
        <v>626</v>
      </c>
      <c r="D24" s="1">
        <v>259</v>
      </c>
      <c r="E24" s="1">
        <v>367</v>
      </c>
      <c r="F24" s="2">
        <v>0.59</v>
      </c>
      <c r="G24" s="2">
        <v>0.624</v>
      </c>
      <c r="H24" s="4">
        <f>F24-G24</f>
        <v>-3.400000000000003E-2</v>
      </c>
    </row>
    <row r="25" spans="1:12" x14ac:dyDescent="0.2">
      <c r="A25" s="1" t="s">
        <v>7</v>
      </c>
      <c r="B25" s="1" t="s">
        <v>30</v>
      </c>
      <c r="C25" s="1">
        <v>381</v>
      </c>
      <c r="D25" s="1">
        <v>172</v>
      </c>
      <c r="E25" s="1">
        <v>209</v>
      </c>
      <c r="F25" s="2">
        <v>0.39200000000000002</v>
      </c>
      <c r="G25" s="2">
        <v>0.35499999999999998</v>
      </c>
      <c r="H25" s="4">
        <f t="shared" ref="H25:H88" si="4">F25-G25</f>
        <v>3.7000000000000033E-2</v>
      </c>
    </row>
    <row r="26" spans="1:12" x14ac:dyDescent="0.2">
      <c r="A26" s="1" t="s">
        <v>7</v>
      </c>
      <c r="B26" s="1" t="s">
        <v>31</v>
      </c>
      <c r="C26" s="1">
        <v>20</v>
      </c>
      <c r="D26" s="1">
        <v>8</v>
      </c>
      <c r="E26" s="1">
        <v>12</v>
      </c>
      <c r="F26" s="2">
        <v>1.7999999999999999E-2</v>
      </c>
      <c r="G26" s="2">
        <v>0.02</v>
      </c>
      <c r="H26" s="4">
        <f t="shared" si="4"/>
        <v>-2.0000000000000018E-3</v>
      </c>
    </row>
    <row r="27" spans="1:12" x14ac:dyDescent="0.2">
      <c r="A27" s="1" t="s">
        <v>8</v>
      </c>
      <c r="B27" s="1" t="s">
        <v>32</v>
      </c>
      <c r="C27" s="1">
        <v>100</v>
      </c>
      <c r="D27" s="1">
        <v>50</v>
      </c>
      <c r="E27" s="1">
        <v>50</v>
      </c>
      <c r="F27" s="2">
        <v>0.114</v>
      </c>
      <c r="G27" s="2">
        <v>8.5000000000000006E-2</v>
      </c>
      <c r="H27" s="4">
        <f t="shared" si="4"/>
        <v>2.8999999999999998E-2</v>
      </c>
    </row>
    <row r="28" spans="1:12" x14ac:dyDescent="0.2">
      <c r="A28" s="1" t="s">
        <v>8</v>
      </c>
      <c r="B28" s="1" t="s">
        <v>33</v>
      </c>
      <c r="C28" s="1">
        <v>930</v>
      </c>
      <c r="D28" s="1">
        <v>389</v>
      </c>
      <c r="E28" s="1">
        <v>541</v>
      </c>
      <c r="F28" s="2">
        <v>0.88600000000000001</v>
      </c>
      <c r="G28" s="2">
        <v>0.91500000000000004</v>
      </c>
      <c r="H28" s="4">
        <f t="shared" si="4"/>
        <v>-2.9000000000000026E-2</v>
      </c>
    </row>
    <row r="29" spans="1:12" x14ac:dyDescent="0.2">
      <c r="A29" s="1" t="s">
        <v>9</v>
      </c>
      <c r="B29" s="1" t="s">
        <v>34</v>
      </c>
      <c r="C29" s="1">
        <v>716</v>
      </c>
      <c r="D29" s="1">
        <v>278</v>
      </c>
      <c r="E29" s="1">
        <v>438</v>
      </c>
      <c r="F29" s="2">
        <v>0.63300000000000001</v>
      </c>
      <c r="G29" s="2">
        <v>0.74099999999999999</v>
      </c>
      <c r="H29" s="4">
        <f t="shared" si="4"/>
        <v>-0.10799999999999998</v>
      </c>
    </row>
    <row r="30" spans="1:12" x14ac:dyDescent="0.2">
      <c r="A30" s="1" t="s">
        <v>9</v>
      </c>
      <c r="B30" s="1" t="s">
        <v>35</v>
      </c>
      <c r="C30" s="1">
        <v>157</v>
      </c>
      <c r="D30" s="1">
        <v>94</v>
      </c>
      <c r="E30" s="1">
        <v>63</v>
      </c>
      <c r="F30" s="2">
        <v>0.214</v>
      </c>
      <c r="G30" s="2">
        <v>0.107</v>
      </c>
      <c r="H30" s="4">
        <f t="shared" si="4"/>
        <v>0.107</v>
      </c>
    </row>
    <row r="31" spans="1:12" x14ac:dyDescent="0.2">
      <c r="A31" s="1" t="s">
        <v>9</v>
      </c>
      <c r="B31" s="1" t="s">
        <v>36</v>
      </c>
      <c r="C31" s="1">
        <v>157</v>
      </c>
      <c r="D31" s="1">
        <v>67</v>
      </c>
      <c r="E31" s="1">
        <v>90</v>
      </c>
      <c r="F31" s="2">
        <v>0.153</v>
      </c>
      <c r="G31" s="2">
        <v>0.152</v>
      </c>
      <c r="H31" s="4">
        <f t="shared" si="4"/>
        <v>1.0000000000000009E-3</v>
      </c>
    </row>
    <row r="32" spans="1:12" x14ac:dyDescent="0.2">
      <c r="A32" s="1" t="s">
        <v>10</v>
      </c>
      <c r="B32" s="1" t="s">
        <v>37</v>
      </c>
      <c r="C32" s="1">
        <v>201</v>
      </c>
      <c r="D32" s="1">
        <v>132</v>
      </c>
      <c r="E32" s="1">
        <v>69</v>
      </c>
      <c r="F32" s="2">
        <v>0.30099999999999999</v>
      </c>
      <c r="G32" s="2">
        <v>0.11700000000000001</v>
      </c>
      <c r="H32" s="4">
        <f t="shared" si="4"/>
        <v>0.184</v>
      </c>
    </row>
    <row r="33" spans="1:8" x14ac:dyDescent="0.2">
      <c r="A33" s="1" t="s">
        <v>10</v>
      </c>
      <c r="B33" s="1" t="s">
        <v>38</v>
      </c>
      <c r="C33" s="1">
        <v>372</v>
      </c>
      <c r="D33" s="1">
        <v>171</v>
      </c>
      <c r="E33" s="1">
        <v>201</v>
      </c>
      <c r="F33" s="2">
        <v>0.39</v>
      </c>
      <c r="G33" s="2">
        <v>0.34100000000000003</v>
      </c>
      <c r="H33" s="4">
        <f t="shared" si="4"/>
        <v>4.8999999999999988E-2</v>
      </c>
    </row>
    <row r="34" spans="1:8" x14ac:dyDescent="0.2">
      <c r="A34" s="1" t="s">
        <v>10</v>
      </c>
      <c r="B34" s="1" t="s">
        <v>39</v>
      </c>
      <c r="C34" s="1">
        <v>294</v>
      </c>
      <c r="D34" s="1">
        <v>94</v>
      </c>
      <c r="E34" s="1">
        <v>200</v>
      </c>
      <c r="F34" s="2">
        <v>0.214</v>
      </c>
      <c r="G34" s="2">
        <v>0.34</v>
      </c>
      <c r="H34" s="4">
        <f t="shared" si="4"/>
        <v>-0.12600000000000003</v>
      </c>
    </row>
    <row r="35" spans="1:8" x14ac:dyDescent="0.2">
      <c r="A35" s="1" t="s">
        <v>10</v>
      </c>
      <c r="B35" s="1" t="s">
        <v>40</v>
      </c>
      <c r="C35" s="1">
        <v>161</v>
      </c>
      <c r="D35" s="1">
        <v>42</v>
      </c>
      <c r="E35" s="1">
        <v>119</v>
      </c>
      <c r="F35" s="2">
        <v>9.6000000000000002E-2</v>
      </c>
      <c r="G35" s="2">
        <v>0.20200000000000001</v>
      </c>
      <c r="H35" s="4">
        <f t="shared" si="4"/>
        <v>-0.10600000000000001</v>
      </c>
    </row>
    <row r="36" spans="1:8" x14ac:dyDescent="0.2">
      <c r="A36" s="1" t="s">
        <v>11</v>
      </c>
      <c r="B36" s="1" t="s">
        <v>41</v>
      </c>
      <c r="C36" s="1">
        <v>103</v>
      </c>
      <c r="D36" s="1">
        <v>32</v>
      </c>
      <c r="E36" s="1">
        <v>71</v>
      </c>
      <c r="F36" s="2">
        <v>7.2999999999999995E-2</v>
      </c>
      <c r="G36" s="2">
        <v>0.12</v>
      </c>
      <c r="H36" s="4">
        <f t="shared" si="4"/>
        <v>-4.7E-2</v>
      </c>
    </row>
    <row r="37" spans="1:8" x14ac:dyDescent="0.2">
      <c r="A37" s="1" t="s">
        <v>11</v>
      </c>
      <c r="B37" s="1" t="s">
        <v>42</v>
      </c>
      <c r="C37" s="1">
        <v>914</v>
      </c>
      <c r="D37" s="1">
        <v>404</v>
      </c>
      <c r="E37" s="1">
        <v>510</v>
      </c>
      <c r="F37" s="2">
        <v>0.92</v>
      </c>
      <c r="G37" s="2">
        <v>0.86299999999999999</v>
      </c>
      <c r="H37" s="4">
        <f t="shared" si="4"/>
        <v>5.7000000000000051E-2</v>
      </c>
    </row>
    <row r="38" spans="1:8" x14ac:dyDescent="0.2">
      <c r="A38" s="1" t="s">
        <v>11</v>
      </c>
      <c r="B38" s="1" t="s">
        <v>43</v>
      </c>
      <c r="C38" s="1">
        <v>13</v>
      </c>
      <c r="D38" s="1">
        <v>3</v>
      </c>
      <c r="E38" s="1">
        <v>10</v>
      </c>
      <c r="F38" s="2">
        <v>7.0000000000000001E-3</v>
      </c>
      <c r="G38" s="2">
        <v>1.7000000000000001E-2</v>
      </c>
      <c r="H38" s="4">
        <f t="shared" si="4"/>
        <v>-1.0000000000000002E-2</v>
      </c>
    </row>
    <row r="39" spans="1:8" x14ac:dyDescent="0.2">
      <c r="A39" s="1" t="s">
        <v>12</v>
      </c>
      <c r="B39" s="1" t="s">
        <v>44</v>
      </c>
      <c r="C39" s="1">
        <v>435</v>
      </c>
      <c r="D39" s="1">
        <v>144</v>
      </c>
      <c r="E39" s="1">
        <v>291</v>
      </c>
      <c r="F39" s="2">
        <v>0.32800000000000001</v>
      </c>
      <c r="G39" s="2">
        <v>0.49199999999999999</v>
      </c>
      <c r="H39" s="4">
        <f t="shared" si="4"/>
        <v>-0.16399999999999998</v>
      </c>
    </row>
    <row r="40" spans="1:8" x14ac:dyDescent="0.2">
      <c r="A40" s="1" t="s">
        <v>12</v>
      </c>
      <c r="B40" s="1" t="s">
        <v>45</v>
      </c>
      <c r="C40" s="1">
        <v>208</v>
      </c>
      <c r="D40" s="1">
        <v>80</v>
      </c>
      <c r="E40" s="1">
        <v>128</v>
      </c>
      <c r="F40" s="2">
        <v>0.182</v>
      </c>
      <c r="G40" s="2">
        <v>0.217</v>
      </c>
      <c r="H40" s="4">
        <f t="shared" si="4"/>
        <v>-3.5000000000000003E-2</v>
      </c>
    </row>
    <row r="41" spans="1:8" x14ac:dyDescent="0.2">
      <c r="A41" s="1" t="s">
        <v>12</v>
      </c>
      <c r="B41" s="1" t="s">
        <v>46</v>
      </c>
      <c r="C41" s="1">
        <v>374</v>
      </c>
      <c r="D41" s="1">
        <v>212</v>
      </c>
      <c r="E41" s="1">
        <v>162</v>
      </c>
      <c r="F41" s="2">
        <v>0.48299999999999998</v>
      </c>
      <c r="G41" s="2">
        <v>0.27400000000000002</v>
      </c>
      <c r="H41" s="4">
        <f t="shared" si="4"/>
        <v>0.20899999999999996</v>
      </c>
    </row>
    <row r="42" spans="1:8" x14ac:dyDescent="0.2">
      <c r="A42" s="1" t="s">
        <v>12</v>
      </c>
      <c r="B42" s="1" t="s">
        <v>47</v>
      </c>
      <c r="C42" s="1">
        <v>13</v>
      </c>
      <c r="D42" s="1">
        <v>3</v>
      </c>
      <c r="E42" s="1">
        <v>10</v>
      </c>
      <c r="F42" s="2">
        <v>7.0000000000000001E-3</v>
      </c>
      <c r="G42" s="2">
        <v>1.7000000000000001E-2</v>
      </c>
      <c r="H42" s="4">
        <f t="shared" si="4"/>
        <v>-1.0000000000000002E-2</v>
      </c>
    </row>
    <row r="43" spans="1:8" x14ac:dyDescent="0.2">
      <c r="A43" s="1" t="s">
        <v>13</v>
      </c>
      <c r="B43" s="1" t="s">
        <v>48</v>
      </c>
      <c r="C43" s="1">
        <v>504</v>
      </c>
      <c r="D43" s="1">
        <v>205</v>
      </c>
      <c r="E43" s="1">
        <v>299</v>
      </c>
      <c r="F43" s="2">
        <v>0.46800000000000003</v>
      </c>
      <c r="G43" s="2">
        <v>0.51300000000000001</v>
      </c>
      <c r="H43" s="4">
        <f t="shared" si="4"/>
        <v>-4.4999999999999984E-2</v>
      </c>
    </row>
    <row r="44" spans="1:8" x14ac:dyDescent="0.2">
      <c r="A44" s="1" t="s">
        <v>13</v>
      </c>
      <c r="B44" s="1" t="s">
        <v>49</v>
      </c>
      <c r="C44" s="1">
        <v>464</v>
      </c>
      <c r="D44" s="1">
        <v>216</v>
      </c>
      <c r="E44" s="1">
        <v>248</v>
      </c>
      <c r="F44" s="2">
        <v>0.49299999999999999</v>
      </c>
      <c r="G44" s="2">
        <v>0.42499999999999999</v>
      </c>
      <c r="H44" s="4">
        <f t="shared" si="4"/>
        <v>6.8000000000000005E-2</v>
      </c>
    </row>
    <row r="45" spans="1:8" x14ac:dyDescent="0.2">
      <c r="A45" s="1" t="s">
        <v>13</v>
      </c>
      <c r="B45" s="1" t="s">
        <v>50</v>
      </c>
      <c r="C45" s="1">
        <v>53</v>
      </c>
      <c r="D45" s="1">
        <v>17</v>
      </c>
      <c r="E45" s="1">
        <v>36</v>
      </c>
      <c r="F45" s="2">
        <v>3.9E-2</v>
      </c>
      <c r="G45" s="2">
        <v>6.2E-2</v>
      </c>
      <c r="H45" s="4">
        <f t="shared" si="4"/>
        <v>-2.3E-2</v>
      </c>
    </row>
    <row r="46" spans="1:8" x14ac:dyDescent="0.2">
      <c r="A46" s="1" t="s">
        <v>14</v>
      </c>
      <c r="B46" s="1" t="s">
        <v>51</v>
      </c>
      <c r="C46" s="1">
        <v>622</v>
      </c>
      <c r="D46" s="1">
        <v>243</v>
      </c>
      <c r="E46" s="1">
        <v>379</v>
      </c>
      <c r="F46" s="2">
        <v>0.55400000000000005</v>
      </c>
      <c r="G46" s="2">
        <v>0.64100000000000001</v>
      </c>
      <c r="H46" s="4">
        <f t="shared" si="4"/>
        <v>-8.6999999999999966E-2</v>
      </c>
    </row>
    <row r="47" spans="1:8" x14ac:dyDescent="0.2">
      <c r="A47" s="1" t="s">
        <v>14</v>
      </c>
      <c r="B47" s="1" t="s">
        <v>52</v>
      </c>
      <c r="C47" s="1">
        <v>105</v>
      </c>
      <c r="D47" s="1">
        <v>41</v>
      </c>
      <c r="E47" s="1">
        <v>64</v>
      </c>
      <c r="F47" s="2">
        <v>9.2999999999999999E-2</v>
      </c>
      <c r="G47" s="2">
        <v>0.108</v>
      </c>
      <c r="H47" s="4">
        <f t="shared" si="4"/>
        <v>-1.4999999999999999E-2</v>
      </c>
    </row>
    <row r="48" spans="1:8" x14ac:dyDescent="0.2">
      <c r="A48" s="1" t="s">
        <v>14</v>
      </c>
      <c r="B48" s="1" t="s">
        <v>53</v>
      </c>
      <c r="C48" s="1">
        <v>251</v>
      </c>
      <c r="D48" s="1">
        <v>129</v>
      </c>
      <c r="E48" s="1">
        <v>122</v>
      </c>
      <c r="F48" s="2">
        <v>0.29399999999999998</v>
      </c>
      <c r="G48" s="2">
        <v>0.20599999999999999</v>
      </c>
      <c r="H48" s="4">
        <f t="shared" si="4"/>
        <v>8.7999999999999995E-2</v>
      </c>
    </row>
    <row r="49" spans="1:8" x14ac:dyDescent="0.2">
      <c r="A49" s="1" t="s">
        <v>14</v>
      </c>
      <c r="B49" s="1" t="s">
        <v>54</v>
      </c>
      <c r="C49" s="1">
        <v>52</v>
      </c>
      <c r="D49" s="1">
        <v>26</v>
      </c>
      <c r="E49" s="1">
        <v>26</v>
      </c>
      <c r="F49" s="2">
        <v>5.8999999999999997E-2</v>
      </c>
      <c r="G49" s="2">
        <v>4.3999999999999997E-2</v>
      </c>
      <c r="H49" s="4">
        <f t="shared" si="4"/>
        <v>1.4999999999999999E-2</v>
      </c>
    </row>
    <row r="50" spans="1:8" x14ac:dyDescent="0.2">
      <c r="A50" s="1" t="s">
        <v>15</v>
      </c>
      <c r="B50" s="1" t="s">
        <v>55</v>
      </c>
      <c r="C50" s="1">
        <v>86</v>
      </c>
      <c r="D50" s="1">
        <v>62</v>
      </c>
      <c r="E50" s="1">
        <v>24</v>
      </c>
      <c r="F50" s="2">
        <v>0.14199999999999999</v>
      </c>
      <c r="G50" s="2">
        <v>4.1000000000000002E-2</v>
      </c>
      <c r="H50" s="4">
        <f t="shared" si="4"/>
        <v>0.10099999999999998</v>
      </c>
    </row>
    <row r="51" spans="1:8" x14ac:dyDescent="0.2">
      <c r="A51" s="1" t="s">
        <v>15</v>
      </c>
      <c r="B51" s="1" t="s">
        <v>56</v>
      </c>
      <c r="C51" s="1">
        <v>91</v>
      </c>
      <c r="D51" s="1">
        <v>47</v>
      </c>
      <c r="E51" s="1">
        <v>44</v>
      </c>
      <c r="F51" s="2">
        <v>0.107</v>
      </c>
      <c r="G51" s="2">
        <v>7.3999999999999996E-2</v>
      </c>
      <c r="H51" s="4">
        <f t="shared" si="4"/>
        <v>3.3000000000000002E-2</v>
      </c>
    </row>
    <row r="52" spans="1:8" x14ac:dyDescent="0.2">
      <c r="A52" s="1" t="s">
        <v>15</v>
      </c>
      <c r="B52" s="1" t="s">
        <v>57</v>
      </c>
      <c r="C52" s="1">
        <v>350</v>
      </c>
      <c r="D52" s="1">
        <v>159</v>
      </c>
      <c r="E52" s="1">
        <v>191</v>
      </c>
      <c r="F52" s="2">
        <v>0.36299999999999999</v>
      </c>
      <c r="G52" s="2">
        <v>0.32300000000000001</v>
      </c>
      <c r="H52" s="4">
        <f t="shared" si="4"/>
        <v>3.999999999999998E-2</v>
      </c>
    </row>
    <row r="53" spans="1:8" x14ac:dyDescent="0.2">
      <c r="A53" s="1" t="s">
        <v>15</v>
      </c>
      <c r="B53" s="1" t="s">
        <v>58</v>
      </c>
      <c r="C53" s="1">
        <v>376</v>
      </c>
      <c r="D53" s="1">
        <v>128</v>
      </c>
      <c r="E53" s="1">
        <v>248</v>
      </c>
      <c r="F53" s="2">
        <v>0.29199999999999998</v>
      </c>
      <c r="G53" s="2">
        <v>0.42</v>
      </c>
      <c r="H53" s="4">
        <f t="shared" si="4"/>
        <v>-0.128</v>
      </c>
    </row>
    <row r="54" spans="1:8" x14ac:dyDescent="0.2">
      <c r="A54" s="1" t="s">
        <v>15</v>
      </c>
      <c r="B54" s="1" t="s">
        <v>59</v>
      </c>
      <c r="C54" s="1">
        <v>126</v>
      </c>
      <c r="D54" s="1">
        <v>42</v>
      </c>
      <c r="E54" s="1">
        <v>84</v>
      </c>
      <c r="F54" s="2">
        <v>9.6000000000000002E-2</v>
      </c>
      <c r="G54" s="2">
        <v>0.14199999999999999</v>
      </c>
      <c r="H54" s="4">
        <f t="shared" si="4"/>
        <v>-4.5999999999999985E-2</v>
      </c>
    </row>
    <row r="55" spans="1:8" x14ac:dyDescent="0.2">
      <c r="A55" s="1" t="s">
        <v>16</v>
      </c>
      <c r="B55" s="1" t="s">
        <v>60</v>
      </c>
      <c r="C55" s="1">
        <v>60</v>
      </c>
      <c r="D55" s="1">
        <v>35</v>
      </c>
      <c r="E55" s="1">
        <v>25</v>
      </c>
      <c r="F55" s="2">
        <v>0.08</v>
      </c>
      <c r="G55" s="2">
        <v>4.2000000000000003E-2</v>
      </c>
      <c r="H55" s="4">
        <f t="shared" si="4"/>
        <v>3.7999999999999999E-2</v>
      </c>
    </row>
    <row r="56" spans="1:8" x14ac:dyDescent="0.2">
      <c r="A56" s="1" t="s">
        <v>16</v>
      </c>
      <c r="B56" s="1" t="s">
        <v>61</v>
      </c>
      <c r="C56" s="1">
        <v>178</v>
      </c>
      <c r="D56" s="1">
        <v>63</v>
      </c>
      <c r="E56" s="1">
        <v>115</v>
      </c>
      <c r="F56" s="2">
        <v>0.14399999999999999</v>
      </c>
      <c r="G56" s="2">
        <v>0.19500000000000001</v>
      </c>
      <c r="H56" s="4">
        <f t="shared" si="4"/>
        <v>-5.1000000000000018E-2</v>
      </c>
    </row>
    <row r="57" spans="1:8" x14ac:dyDescent="0.2">
      <c r="A57" s="1" t="s">
        <v>16</v>
      </c>
      <c r="B57" s="1" t="s">
        <v>62</v>
      </c>
      <c r="C57" s="1">
        <v>382</v>
      </c>
      <c r="D57" s="1">
        <v>171</v>
      </c>
      <c r="E57" s="1">
        <v>211</v>
      </c>
      <c r="F57" s="2">
        <v>0.39</v>
      </c>
      <c r="G57" s="2">
        <v>0.35699999999999998</v>
      </c>
      <c r="H57" s="4">
        <f t="shared" si="4"/>
        <v>3.3000000000000029E-2</v>
      </c>
    </row>
    <row r="58" spans="1:8" x14ac:dyDescent="0.2">
      <c r="A58" s="1" t="s">
        <v>16</v>
      </c>
      <c r="B58" s="1" t="s">
        <v>63</v>
      </c>
      <c r="C58" s="1">
        <v>281</v>
      </c>
      <c r="D58" s="1">
        <v>104</v>
      </c>
      <c r="E58" s="1">
        <v>177</v>
      </c>
      <c r="F58" s="2">
        <v>0.23699999999999999</v>
      </c>
      <c r="G58" s="2">
        <v>0.29899999999999999</v>
      </c>
      <c r="H58" s="4">
        <f t="shared" si="4"/>
        <v>-6.2E-2</v>
      </c>
    </row>
    <row r="59" spans="1:8" x14ac:dyDescent="0.2">
      <c r="A59" s="1" t="s">
        <v>16</v>
      </c>
      <c r="B59" s="1" t="s">
        <v>64</v>
      </c>
      <c r="C59" s="1">
        <v>128</v>
      </c>
      <c r="D59" s="1">
        <v>65</v>
      </c>
      <c r="E59" s="1">
        <v>63</v>
      </c>
      <c r="F59" s="2">
        <v>0.14799999999999999</v>
      </c>
      <c r="G59" s="2">
        <v>0.107</v>
      </c>
      <c r="H59" s="4">
        <f t="shared" si="4"/>
        <v>4.0999999999999995E-2</v>
      </c>
    </row>
    <row r="60" spans="1:8" x14ac:dyDescent="0.2">
      <c r="A60" s="1" t="s">
        <v>17</v>
      </c>
      <c r="B60" s="1" t="s">
        <v>65</v>
      </c>
      <c r="C60" s="1">
        <v>236</v>
      </c>
      <c r="D60" s="1">
        <v>101</v>
      </c>
      <c r="E60" s="1">
        <v>135</v>
      </c>
      <c r="F60" s="2">
        <v>0.23100000000000001</v>
      </c>
      <c r="G60" s="2">
        <v>0.22800000000000001</v>
      </c>
      <c r="H60" s="4">
        <f t="shared" si="4"/>
        <v>3.0000000000000027E-3</v>
      </c>
    </row>
    <row r="61" spans="1:8" x14ac:dyDescent="0.2">
      <c r="A61" s="1" t="s">
        <v>17</v>
      </c>
      <c r="B61" s="1" t="s">
        <v>66</v>
      </c>
      <c r="C61" s="1">
        <v>298</v>
      </c>
      <c r="D61" s="1">
        <v>121</v>
      </c>
      <c r="E61" s="1">
        <v>177</v>
      </c>
      <c r="F61" s="2">
        <v>0.27600000000000002</v>
      </c>
      <c r="G61" s="2">
        <v>0.29899999999999999</v>
      </c>
      <c r="H61" s="4">
        <f t="shared" si="4"/>
        <v>-2.2999999999999965E-2</v>
      </c>
    </row>
    <row r="62" spans="1:8" x14ac:dyDescent="0.2">
      <c r="A62" s="1" t="s">
        <v>17</v>
      </c>
      <c r="B62" s="1" t="s">
        <v>67</v>
      </c>
      <c r="C62" s="1">
        <v>244</v>
      </c>
      <c r="D62" s="1">
        <v>114</v>
      </c>
      <c r="E62" s="1">
        <v>130</v>
      </c>
      <c r="F62" s="2">
        <v>0.26</v>
      </c>
      <c r="G62" s="2">
        <v>0.22</v>
      </c>
      <c r="H62" s="4">
        <f t="shared" si="4"/>
        <v>4.0000000000000008E-2</v>
      </c>
    </row>
    <row r="63" spans="1:8" x14ac:dyDescent="0.2">
      <c r="A63" s="1" t="s">
        <v>17</v>
      </c>
      <c r="B63" s="1" t="s">
        <v>68</v>
      </c>
      <c r="C63" s="1">
        <v>180</v>
      </c>
      <c r="D63" s="1">
        <v>72</v>
      </c>
      <c r="E63" s="1">
        <v>108</v>
      </c>
      <c r="F63" s="2">
        <v>0.16400000000000001</v>
      </c>
      <c r="G63" s="2">
        <v>0.183</v>
      </c>
      <c r="H63" s="4">
        <f t="shared" si="4"/>
        <v>-1.8999999999999989E-2</v>
      </c>
    </row>
    <row r="64" spans="1:8" x14ac:dyDescent="0.2">
      <c r="A64" s="1" t="s">
        <v>17</v>
      </c>
      <c r="B64" s="1" t="s">
        <v>69</v>
      </c>
      <c r="C64" s="1">
        <v>71</v>
      </c>
      <c r="D64" s="1">
        <v>30</v>
      </c>
      <c r="E64" s="1">
        <v>41</v>
      </c>
      <c r="F64" s="2">
        <v>6.8000000000000005E-2</v>
      </c>
      <c r="G64" s="2">
        <v>6.9000000000000006E-2</v>
      </c>
      <c r="H64" s="4">
        <f t="shared" si="4"/>
        <v>-1.0000000000000009E-3</v>
      </c>
    </row>
    <row r="65" spans="1:8" x14ac:dyDescent="0.2">
      <c r="A65" s="1" t="s">
        <v>18</v>
      </c>
      <c r="B65" s="1" t="s">
        <v>70</v>
      </c>
      <c r="C65" s="1">
        <v>145</v>
      </c>
      <c r="D65" s="1">
        <v>81</v>
      </c>
      <c r="E65" s="1">
        <v>64</v>
      </c>
      <c r="F65" s="2">
        <v>0.185</v>
      </c>
      <c r="G65" s="2">
        <v>0.108</v>
      </c>
      <c r="H65" s="4">
        <f t="shared" si="4"/>
        <v>7.6999999999999999E-2</v>
      </c>
    </row>
    <row r="66" spans="1:8" x14ac:dyDescent="0.2">
      <c r="A66" s="1" t="s">
        <v>18</v>
      </c>
      <c r="B66" s="1" t="s">
        <v>71</v>
      </c>
      <c r="C66" s="1">
        <v>257</v>
      </c>
      <c r="D66" s="1">
        <v>85</v>
      </c>
      <c r="E66" s="1">
        <v>172</v>
      </c>
      <c r="F66" s="2">
        <v>0.19400000000000001</v>
      </c>
      <c r="G66" s="2">
        <v>0.29099999999999998</v>
      </c>
      <c r="H66" s="4">
        <f t="shared" si="4"/>
        <v>-9.6999999999999975E-2</v>
      </c>
    </row>
    <row r="67" spans="1:8" x14ac:dyDescent="0.2">
      <c r="A67" s="1" t="s">
        <v>18</v>
      </c>
      <c r="B67" s="1" t="s">
        <v>72</v>
      </c>
      <c r="C67" s="1">
        <v>269</v>
      </c>
      <c r="D67" s="1">
        <v>125</v>
      </c>
      <c r="E67" s="1">
        <v>144</v>
      </c>
      <c r="F67" s="2">
        <v>0.28499999999999998</v>
      </c>
      <c r="G67" s="2">
        <v>0.24399999999999999</v>
      </c>
      <c r="H67" s="4">
        <f t="shared" si="4"/>
        <v>4.0999999999999981E-2</v>
      </c>
    </row>
    <row r="68" spans="1:8" x14ac:dyDescent="0.2">
      <c r="A68" s="1" t="s">
        <v>18</v>
      </c>
      <c r="B68" s="1" t="s">
        <v>73</v>
      </c>
      <c r="C68" s="1">
        <v>267</v>
      </c>
      <c r="D68" s="1">
        <v>104</v>
      </c>
      <c r="E68" s="1">
        <v>163</v>
      </c>
      <c r="F68" s="2">
        <v>0.23699999999999999</v>
      </c>
      <c r="G68" s="2">
        <v>0.27600000000000002</v>
      </c>
      <c r="H68" s="4">
        <f t="shared" si="4"/>
        <v>-3.9000000000000035E-2</v>
      </c>
    </row>
    <row r="69" spans="1:8" x14ac:dyDescent="0.2">
      <c r="A69" s="1" t="s">
        <v>18</v>
      </c>
      <c r="B69" s="1" t="s">
        <v>74</v>
      </c>
      <c r="C69" s="1">
        <v>91</v>
      </c>
      <c r="D69" s="1">
        <v>43</v>
      </c>
      <c r="E69" s="1">
        <v>48</v>
      </c>
      <c r="F69" s="2">
        <v>9.8000000000000004E-2</v>
      </c>
      <c r="G69" s="2">
        <v>8.1000000000000003E-2</v>
      </c>
      <c r="H69" s="4">
        <f t="shared" si="4"/>
        <v>1.7000000000000001E-2</v>
      </c>
    </row>
    <row r="70" spans="1:8" x14ac:dyDescent="0.2">
      <c r="A70" s="1" t="s">
        <v>19</v>
      </c>
      <c r="B70" s="1" t="s">
        <v>75</v>
      </c>
      <c r="C70" s="1">
        <v>135</v>
      </c>
      <c r="D70" s="1">
        <v>67</v>
      </c>
      <c r="E70" s="1">
        <v>68</v>
      </c>
      <c r="F70" s="2">
        <v>0.153</v>
      </c>
      <c r="G70" s="2">
        <v>0.115</v>
      </c>
      <c r="H70" s="4">
        <f t="shared" si="4"/>
        <v>3.7999999999999992E-2</v>
      </c>
    </row>
    <row r="71" spans="1:8" x14ac:dyDescent="0.2">
      <c r="A71" s="1" t="s">
        <v>19</v>
      </c>
      <c r="B71" s="1" t="s">
        <v>76</v>
      </c>
      <c r="C71" s="1">
        <v>262</v>
      </c>
      <c r="D71" s="1">
        <v>118</v>
      </c>
      <c r="E71" s="1">
        <v>144</v>
      </c>
      <c r="F71" s="2">
        <v>0.26900000000000002</v>
      </c>
      <c r="G71" s="2">
        <v>0.24399999999999999</v>
      </c>
      <c r="H71" s="4">
        <f t="shared" si="4"/>
        <v>2.5000000000000022E-2</v>
      </c>
    </row>
    <row r="72" spans="1:8" x14ac:dyDescent="0.2">
      <c r="A72" s="1" t="s">
        <v>19</v>
      </c>
      <c r="B72" s="1" t="s">
        <v>77</v>
      </c>
      <c r="C72" s="1">
        <v>293</v>
      </c>
      <c r="D72" s="1">
        <v>138</v>
      </c>
      <c r="E72" s="1">
        <v>155</v>
      </c>
      <c r="F72" s="2">
        <v>0.315</v>
      </c>
      <c r="G72" s="2">
        <v>0.26200000000000001</v>
      </c>
      <c r="H72" s="4">
        <f t="shared" si="4"/>
        <v>5.2999999999999992E-2</v>
      </c>
    </row>
    <row r="73" spans="1:8" x14ac:dyDescent="0.2">
      <c r="A73" s="1" t="s">
        <v>19</v>
      </c>
      <c r="B73" s="1" t="s">
        <v>78</v>
      </c>
      <c r="C73" s="1">
        <v>159</v>
      </c>
      <c r="D73" s="1">
        <v>47</v>
      </c>
      <c r="E73" s="1">
        <v>112</v>
      </c>
      <c r="F73" s="2">
        <v>0.107</v>
      </c>
      <c r="G73" s="2">
        <v>0.19</v>
      </c>
      <c r="H73" s="4">
        <f t="shared" si="4"/>
        <v>-8.3000000000000004E-2</v>
      </c>
    </row>
    <row r="74" spans="1:8" x14ac:dyDescent="0.2">
      <c r="A74" s="1" t="s">
        <v>19</v>
      </c>
      <c r="B74" s="1" t="s">
        <v>79</v>
      </c>
      <c r="C74" s="1">
        <v>180</v>
      </c>
      <c r="D74" s="1">
        <v>68</v>
      </c>
      <c r="E74" s="1">
        <v>112</v>
      </c>
      <c r="F74" s="2">
        <v>0.155</v>
      </c>
      <c r="G74" s="2">
        <v>0.19</v>
      </c>
      <c r="H74" s="4">
        <f t="shared" si="4"/>
        <v>-3.5000000000000003E-2</v>
      </c>
    </row>
    <row r="75" spans="1:8" x14ac:dyDescent="0.2">
      <c r="A75" s="1" t="s">
        <v>20</v>
      </c>
      <c r="B75" s="1" t="s">
        <v>80</v>
      </c>
      <c r="C75" s="1">
        <v>68</v>
      </c>
      <c r="D75" s="1">
        <v>42</v>
      </c>
      <c r="E75" s="1">
        <v>26</v>
      </c>
      <c r="F75" s="2">
        <v>9.6000000000000002E-2</v>
      </c>
      <c r="G75" s="2">
        <v>4.3999999999999997E-2</v>
      </c>
      <c r="H75" s="4">
        <f t="shared" si="4"/>
        <v>5.2000000000000005E-2</v>
      </c>
    </row>
    <row r="76" spans="1:8" x14ac:dyDescent="0.2">
      <c r="A76" s="1" t="s">
        <v>20</v>
      </c>
      <c r="B76" s="1" t="s">
        <v>81</v>
      </c>
      <c r="C76" s="1">
        <v>203</v>
      </c>
      <c r="D76" s="1">
        <v>94</v>
      </c>
      <c r="E76" s="1">
        <v>109</v>
      </c>
      <c r="F76" s="2">
        <v>0.215</v>
      </c>
      <c r="G76" s="2">
        <v>0.184</v>
      </c>
      <c r="H76" s="4">
        <f t="shared" si="4"/>
        <v>3.1E-2</v>
      </c>
    </row>
    <row r="77" spans="1:8" x14ac:dyDescent="0.2">
      <c r="A77" s="1" t="s">
        <v>20</v>
      </c>
      <c r="B77" s="1" t="s">
        <v>82</v>
      </c>
      <c r="C77" s="1">
        <v>330</v>
      </c>
      <c r="D77" s="1">
        <v>171</v>
      </c>
      <c r="E77" s="1">
        <v>159</v>
      </c>
      <c r="F77" s="2">
        <v>0.39</v>
      </c>
      <c r="G77" s="2">
        <v>0.26900000000000002</v>
      </c>
      <c r="H77" s="4">
        <f t="shared" si="4"/>
        <v>0.121</v>
      </c>
    </row>
    <row r="78" spans="1:8" x14ac:dyDescent="0.2">
      <c r="A78" s="1" t="s">
        <v>20</v>
      </c>
      <c r="B78" s="1" t="s">
        <v>83</v>
      </c>
      <c r="C78" s="1">
        <v>207</v>
      </c>
      <c r="D78" s="1">
        <v>60</v>
      </c>
      <c r="E78" s="1">
        <v>147</v>
      </c>
      <c r="F78" s="2">
        <v>0.13700000000000001</v>
      </c>
      <c r="G78" s="2">
        <v>0.249</v>
      </c>
      <c r="H78" s="4">
        <f t="shared" si="4"/>
        <v>-0.11199999999999999</v>
      </c>
    </row>
    <row r="79" spans="1:8" x14ac:dyDescent="0.2">
      <c r="A79" s="1" t="s">
        <v>20</v>
      </c>
      <c r="B79" s="1" t="s">
        <v>84</v>
      </c>
      <c r="C79" s="1">
        <v>172</v>
      </c>
      <c r="D79" s="1">
        <v>54</v>
      </c>
      <c r="E79" s="1">
        <v>118</v>
      </c>
      <c r="F79" s="2">
        <v>0.123</v>
      </c>
      <c r="G79" s="2">
        <v>0.2</v>
      </c>
      <c r="H79" s="4">
        <f t="shared" si="4"/>
        <v>-7.7000000000000013E-2</v>
      </c>
    </row>
    <row r="80" spans="1:8" x14ac:dyDescent="0.2">
      <c r="A80" s="1" t="s">
        <v>20</v>
      </c>
      <c r="B80" s="1" t="s">
        <v>85</v>
      </c>
      <c r="C80" s="1">
        <v>23</v>
      </c>
      <c r="D80" s="1">
        <v>8</v>
      </c>
      <c r="E80" s="1">
        <v>15</v>
      </c>
      <c r="F80" s="2">
        <v>1.7999999999999999E-2</v>
      </c>
      <c r="G80" s="2">
        <v>2.5000000000000001E-2</v>
      </c>
      <c r="H80" s="4">
        <f t="shared" si="4"/>
        <v>-7.0000000000000027E-3</v>
      </c>
    </row>
    <row r="81" spans="1:8" x14ac:dyDescent="0.2">
      <c r="A81" s="1" t="s">
        <v>20</v>
      </c>
      <c r="B81" s="1" t="s">
        <v>86</v>
      </c>
      <c r="C81" s="1">
        <v>26</v>
      </c>
      <c r="D81" s="1">
        <v>9</v>
      </c>
      <c r="E81" s="1">
        <v>17</v>
      </c>
      <c r="F81" s="2">
        <v>2.1000000000000001E-2</v>
      </c>
      <c r="G81" s="2">
        <v>2.9000000000000001E-2</v>
      </c>
      <c r="H81" s="4">
        <f t="shared" si="4"/>
        <v>-8.0000000000000002E-3</v>
      </c>
    </row>
    <row r="82" spans="1:8" x14ac:dyDescent="0.2">
      <c r="A82" s="1" t="s">
        <v>21</v>
      </c>
      <c r="B82" s="1" t="s">
        <v>87</v>
      </c>
      <c r="C82" s="1">
        <v>427</v>
      </c>
      <c r="D82" s="1">
        <v>181</v>
      </c>
      <c r="E82" s="1">
        <v>246</v>
      </c>
      <c r="F82" s="2">
        <v>0.41299999999999998</v>
      </c>
      <c r="G82" s="2">
        <v>0.41599999999999998</v>
      </c>
      <c r="H82" s="4">
        <f t="shared" si="4"/>
        <v>-3.0000000000000027E-3</v>
      </c>
    </row>
    <row r="83" spans="1:8" x14ac:dyDescent="0.2">
      <c r="A83" s="1" t="s">
        <v>21</v>
      </c>
      <c r="B83" s="1" t="s">
        <v>88</v>
      </c>
      <c r="C83" s="1">
        <v>275</v>
      </c>
      <c r="D83" s="1">
        <v>133</v>
      </c>
      <c r="E83" s="1">
        <v>142</v>
      </c>
      <c r="F83" s="2">
        <v>0.30399999999999999</v>
      </c>
      <c r="G83" s="2">
        <v>0.24</v>
      </c>
      <c r="H83" s="4">
        <f t="shared" si="4"/>
        <v>6.4000000000000001E-2</v>
      </c>
    </row>
    <row r="84" spans="1:8" x14ac:dyDescent="0.2">
      <c r="A84" s="1" t="s">
        <v>21</v>
      </c>
      <c r="B84" s="1" t="s">
        <v>89</v>
      </c>
      <c r="C84" s="1">
        <v>292</v>
      </c>
      <c r="D84" s="1">
        <v>108</v>
      </c>
      <c r="E84" s="1">
        <v>184</v>
      </c>
      <c r="F84" s="2">
        <v>0.247</v>
      </c>
      <c r="G84" s="2">
        <v>0.311</v>
      </c>
      <c r="H84" s="4">
        <f t="shared" si="4"/>
        <v>-6.4000000000000001E-2</v>
      </c>
    </row>
    <row r="85" spans="1:8" x14ac:dyDescent="0.2">
      <c r="A85" s="1" t="s">
        <v>21</v>
      </c>
      <c r="B85" s="1" t="s">
        <v>90</v>
      </c>
      <c r="C85" s="1">
        <v>35</v>
      </c>
      <c r="D85" s="1">
        <v>16</v>
      </c>
      <c r="E85" s="1">
        <v>19</v>
      </c>
      <c r="F85" s="2">
        <v>3.6999999999999998E-2</v>
      </c>
      <c r="G85" s="2">
        <v>3.2000000000000001E-2</v>
      </c>
      <c r="H85" s="4">
        <f t="shared" si="4"/>
        <v>4.9999999999999975E-3</v>
      </c>
    </row>
    <row r="86" spans="1:8" x14ac:dyDescent="0.2">
      <c r="A86" s="1" t="s">
        <v>22</v>
      </c>
      <c r="B86" s="1" t="s">
        <v>91</v>
      </c>
      <c r="C86" s="1">
        <v>42</v>
      </c>
      <c r="D86" s="1">
        <v>41</v>
      </c>
      <c r="E86" s="1">
        <v>1</v>
      </c>
      <c r="F86" s="2">
        <v>9.2999999999999999E-2</v>
      </c>
      <c r="G86" s="2">
        <v>2E-3</v>
      </c>
      <c r="H86" s="4">
        <f t="shared" si="4"/>
        <v>9.0999999999999998E-2</v>
      </c>
    </row>
    <row r="87" spans="1:8" x14ac:dyDescent="0.2">
      <c r="A87" s="1" t="s">
        <v>22</v>
      </c>
      <c r="B87" s="1" t="s">
        <v>92</v>
      </c>
      <c r="C87" s="1">
        <v>566</v>
      </c>
      <c r="D87" s="1">
        <v>305</v>
      </c>
      <c r="E87" s="1">
        <v>261</v>
      </c>
      <c r="F87" s="2">
        <v>0.69499999999999995</v>
      </c>
      <c r="G87" s="2">
        <v>0.442</v>
      </c>
      <c r="H87" s="4">
        <f t="shared" si="4"/>
        <v>0.25299999999999995</v>
      </c>
    </row>
    <row r="88" spans="1:8" x14ac:dyDescent="0.2">
      <c r="A88" s="1" t="s">
        <v>22</v>
      </c>
      <c r="B88" s="1" t="s">
        <v>93</v>
      </c>
      <c r="C88" s="1">
        <v>422</v>
      </c>
      <c r="D88" s="1">
        <v>93</v>
      </c>
      <c r="E88" s="1">
        <v>329</v>
      </c>
      <c r="F88" s="2">
        <v>0.21199999999999999</v>
      </c>
      <c r="G88" s="2">
        <v>0.55700000000000005</v>
      </c>
      <c r="H88" s="4">
        <f t="shared" si="4"/>
        <v>-0.34500000000000008</v>
      </c>
    </row>
    <row r="89" spans="1:8" x14ac:dyDescent="0.2">
      <c r="A89" s="1" t="s">
        <v>23</v>
      </c>
      <c r="B89" s="1" t="s">
        <v>94</v>
      </c>
      <c r="C89" s="1">
        <v>195</v>
      </c>
      <c r="D89" s="1">
        <v>140</v>
      </c>
      <c r="E89" s="1">
        <v>55</v>
      </c>
      <c r="F89" s="2">
        <v>0.31900000000000001</v>
      </c>
      <c r="G89" s="2">
        <v>9.2999999999999999E-2</v>
      </c>
      <c r="H89" s="4">
        <f t="shared" ref="H89:H105" si="5">F89-G89</f>
        <v>0.22600000000000001</v>
      </c>
    </row>
    <row r="90" spans="1:8" x14ac:dyDescent="0.2">
      <c r="A90" s="1" t="s">
        <v>23</v>
      </c>
      <c r="B90" s="1" t="s">
        <v>95</v>
      </c>
      <c r="C90" s="1">
        <v>310</v>
      </c>
      <c r="D90" s="1">
        <v>128</v>
      </c>
      <c r="E90" s="1">
        <v>182</v>
      </c>
      <c r="F90" s="2">
        <v>0.29199999999999998</v>
      </c>
      <c r="G90" s="2">
        <v>0.308</v>
      </c>
      <c r="H90" s="4">
        <f t="shared" si="5"/>
        <v>-1.6000000000000014E-2</v>
      </c>
    </row>
    <row r="91" spans="1:8" x14ac:dyDescent="0.2">
      <c r="A91" s="1" t="s">
        <v>23</v>
      </c>
      <c r="B91" s="1" t="s">
        <v>96</v>
      </c>
      <c r="C91" s="1">
        <v>525</v>
      </c>
      <c r="D91" s="1">
        <v>171</v>
      </c>
      <c r="E91" s="1">
        <v>354</v>
      </c>
      <c r="F91" s="2">
        <v>0.39</v>
      </c>
      <c r="G91" s="2">
        <v>0.59899999999999998</v>
      </c>
      <c r="H91" s="4">
        <f t="shared" si="5"/>
        <v>-0.20899999999999996</v>
      </c>
    </row>
    <row r="92" spans="1:8" x14ac:dyDescent="0.2">
      <c r="A92" s="1" t="s">
        <v>24</v>
      </c>
      <c r="B92" s="1" t="s">
        <v>97</v>
      </c>
      <c r="C92" s="1">
        <v>329</v>
      </c>
      <c r="D92" s="1">
        <v>171</v>
      </c>
      <c r="E92" s="1">
        <v>158</v>
      </c>
      <c r="F92" s="2">
        <v>0.39</v>
      </c>
      <c r="G92" s="2">
        <v>0.26700000000000002</v>
      </c>
      <c r="H92" s="4">
        <f t="shared" si="5"/>
        <v>0.123</v>
      </c>
    </row>
    <row r="93" spans="1:8" x14ac:dyDescent="0.2">
      <c r="A93" s="1" t="s">
        <v>24</v>
      </c>
      <c r="B93" s="1" t="s">
        <v>98</v>
      </c>
      <c r="C93" s="1">
        <v>701</v>
      </c>
      <c r="D93" s="1">
        <v>268</v>
      </c>
      <c r="E93" s="1">
        <v>433</v>
      </c>
      <c r="F93" s="2">
        <v>0.61</v>
      </c>
      <c r="G93" s="2">
        <v>0.73299999999999998</v>
      </c>
      <c r="H93" s="4">
        <f t="shared" si="5"/>
        <v>-0.123</v>
      </c>
    </row>
    <row r="94" spans="1:8" x14ac:dyDescent="0.2">
      <c r="A94" s="1" t="s">
        <v>25</v>
      </c>
      <c r="B94" s="1" t="s">
        <v>99</v>
      </c>
      <c r="C94" s="1">
        <v>824</v>
      </c>
      <c r="D94" s="1">
        <v>373</v>
      </c>
      <c r="E94" s="1">
        <v>451</v>
      </c>
      <c r="F94" s="2">
        <v>0.85</v>
      </c>
      <c r="G94" s="2">
        <v>0.76300000000000001</v>
      </c>
      <c r="H94" s="4">
        <f t="shared" si="5"/>
        <v>8.6999999999999966E-2</v>
      </c>
    </row>
    <row r="95" spans="1:8" x14ac:dyDescent="0.2">
      <c r="A95" s="1" t="s">
        <v>25</v>
      </c>
      <c r="B95" s="1" t="s">
        <v>100</v>
      </c>
      <c r="C95" s="1">
        <v>206</v>
      </c>
      <c r="D95" s="1">
        <v>66</v>
      </c>
      <c r="E95" s="1">
        <v>140</v>
      </c>
      <c r="F95" s="2">
        <v>0.15</v>
      </c>
      <c r="G95" s="2">
        <v>0.23699999999999999</v>
      </c>
      <c r="H95" s="4">
        <f t="shared" si="5"/>
        <v>-8.6999999999999994E-2</v>
      </c>
    </row>
    <row r="96" spans="1:8" x14ac:dyDescent="0.2">
      <c r="A96" s="1" t="s">
        <v>26</v>
      </c>
      <c r="B96" s="1" t="s">
        <v>101</v>
      </c>
      <c r="C96" s="1">
        <v>771</v>
      </c>
      <c r="D96" s="1">
        <v>306</v>
      </c>
      <c r="E96" s="1">
        <v>465</v>
      </c>
      <c r="F96" s="2">
        <v>0.69699999999999995</v>
      </c>
      <c r="G96" s="2">
        <v>0.78700000000000003</v>
      </c>
      <c r="H96" s="4">
        <f t="shared" si="5"/>
        <v>-9.000000000000008E-2</v>
      </c>
    </row>
    <row r="97" spans="1:8" x14ac:dyDescent="0.2">
      <c r="A97" s="1" t="s">
        <v>26</v>
      </c>
      <c r="B97" s="1" t="s">
        <v>102</v>
      </c>
      <c r="C97" s="1">
        <v>156</v>
      </c>
      <c r="D97" s="1">
        <v>104</v>
      </c>
      <c r="E97" s="1">
        <v>52</v>
      </c>
      <c r="F97" s="2">
        <v>0.23699999999999999</v>
      </c>
      <c r="G97" s="2">
        <v>8.7999999999999995E-2</v>
      </c>
      <c r="H97" s="4">
        <f t="shared" si="5"/>
        <v>0.14899999999999999</v>
      </c>
    </row>
    <row r="98" spans="1:8" x14ac:dyDescent="0.2">
      <c r="A98" s="1" t="s">
        <v>26</v>
      </c>
      <c r="B98" s="1" t="s">
        <v>103</v>
      </c>
      <c r="C98" s="1">
        <v>99</v>
      </c>
      <c r="D98" s="1">
        <v>25</v>
      </c>
      <c r="E98" s="1">
        <v>74</v>
      </c>
      <c r="F98" s="2">
        <v>5.7000000000000002E-2</v>
      </c>
      <c r="G98" s="2">
        <v>0.125</v>
      </c>
      <c r="H98" s="4">
        <f t="shared" si="5"/>
        <v>-6.8000000000000005E-2</v>
      </c>
    </row>
    <row r="99" spans="1:8" x14ac:dyDescent="0.2">
      <c r="A99" s="1" t="s">
        <v>26</v>
      </c>
      <c r="B99" s="1" t="s">
        <v>104</v>
      </c>
      <c r="C99" s="1">
        <v>4</v>
      </c>
      <c r="D99" s="1">
        <v>4</v>
      </c>
      <c r="E99" s="1" t="e">
        <v>#N/A</v>
      </c>
      <c r="F99" s="2">
        <v>8.9999999999999993E-3</v>
      </c>
      <c r="G99" s="2" t="e">
        <v>#N/A</v>
      </c>
      <c r="H99" s="4" t="e">
        <f t="shared" si="5"/>
        <v>#N/A</v>
      </c>
    </row>
    <row r="100" spans="1:8" x14ac:dyDescent="0.2">
      <c r="A100" s="1" t="s">
        <v>27</v>
      </c>
      <c r="B100" s="1" t="s">
        <v>105</v>
      </c>
      <c r="C100" s="1">
        <v>568</v>
      </c>
      <c r="D100" s="1">
        <v>265</v>
      </c>
      <c r="E100" s="1">
        <v>303</v>
      </c>
      <c r="F100" s="2">
        <v>0.60599999999999998</v>
      </c>
      <c r="G100" s="2">
        <v>0.51300000000000001</v>
      </c>
      <c r="H100" s="4">
        <f t="shared" si="5"/>
        <v>9.2999999999999972E-2</v>
      </c>
    </row>
    <row r="101" spans="1:8" x14ac:dyDescent="0.2">
      <c r="A101" s="1" t="s">
        <v>27</v>
      </c>
      <c r="B101" s="1" t="s">
        <v>106</v>
      </c>
      <c r="C101" s="1">
        <v>404</v>
      </c>
      <c r="D101" s="1">
        <v>145</v>
      </c>
      <c r="E101" s="1">
        <v>259</v>
      </c>
      <c r="F101" s="2">
        <v>0.33200000000000002</v>
      </c>
      <c r="G101" s="2">
        <v>0.438</v>
      </c>
      <c r="H101" s="4">
        <f t="shared" si="5"/>
        <v>-0.10599999999999998</v>
      </c>
    </row>
    <row r="102" spans="1:8" x14ac:dyDescent="0.2">
      <c r="A102" s="1" t="s">
        <v>27</v>
      </c>
      <c r="B102" s="1" t="s">
        <v>107</v>
      </c>
      <c r="C102" s="1">
        <v>56</v>
      </c>
      <c r="D102" s="1">
        <v>27</v>
      </c>
      <c r="E102" s="1">
        <v>29</v>
      </c>
      <c r="F102" s="2">
        <v>6.2E-2</v>
      </c>
      <c r="G102" s="2">
        <v>4.9000000000000002E-2</v>
      </c>
      <c r="H102" s="4">
        <f t="shared" si="5"/>
        <v>1.2999999999999998E-2</v>
      </c>
    </row>
    <row r="103" spans="1:8" x14ac:dyDescent="0.2">
      <c r="A103" s="1" t="s">
        <v>28</v>
      </c>
      <c r="B103" s="1" t="s">
        <v>108</v>
      </c>
      <c r="C103" s="1">
        <v>437</v>
      </c>
      <c r="D103" s="1">
        <v>228</v>
      </c>
      <c r="E103" s="1">
        <v>209</v>
      </c>
      <c r="F103" s="2">
        <v>0.52200000000000002</v>
      </c>
      <c r="G103" s="2">
        <v>0.35399999999999998</v>
      </c>
      <c r="H103" s="4">
        <f t="shared" si="5"/>
        <v>0.16800000000000004</v>
      </c>
    </row>
    <row r="104" spans="1:8" x14ac:dyDescent="0.2">
      <c r="A104" s="1" t="s">
        <v>28</v>
      </c>
      <c r="B104" s="1" t="s">
        <v>109</v>
      </c>
      <c r="C104" s="1">
        <v>324</v>
      </c>
      <c r="D104" s="1">
        <v>117</v>
      </c>
      <c r="E104" s="1">
        <v>207</v>
      </c>
      <c r="F104" s="2">
        <v>0.26800000000000002</v>
      </c>
      <c r="G104" s="2">
        <v>0.35</v>
      </c>
      <c r="H104" s="4">
        <f t="shared" si="5"/>
        <v>-8.1999999999999962E-2</v>
      </c>
    </row>
    <row r="105" spans="1:8" x14ac:dyDescent="0.2">
      <c r="A105" s="1" t="s">
        <v>28</v>
      </c>
      <c r="B105" s="1" t="s">
        <v>110</v>
      </c>
      <c r="C105" s="1">
        <v>267</v>
      </c>
      <c r="D105" s="1">
        <v>92</v>
      </c>
      <c r="E105" s="1">
        <v>175</v>
      </c>
      <c r="F105" s="2">
        <v>0.21099999999999999</v>
      </c>
      <c r="G105" s="2">
        <v>0.29599999999999999</v>
      </c>
      <c r="H105" s="4">
        <f t="shared" si="5"/>
        <v>-8.4999999999999992E-2</v>
      </c>
    </row>
    <row r="106" spans="1:8" x14ac:dyDescent="0.2">
      <c r="B106" s="6">
        <v>3</v>
      </c>
    </row>
    <row r="107" spans="1:8" x14ac:dyDescent="0.2">
      <c r="B107" s="6">
        <v>4</v>
      </c>
    </row>
    <row r="108" spans="1:8" x14ac:dyDescent="0.2">
      <c r="B108" s="6">
        <v>5</v>
      </c>
      <c r="D108" s="5"/>
      <c r="E108" s="5" t="s">
        <v>112</v>
      </c>
      <c r="F108" s="5" t="s">
        <v>120</v>
      </c>
      <c r="G108" s="5" t="s">
        <v>121</v>
      </c>
    </row>
    <row r="109" spans="1:8" x14ac:dyDescent="0.2">
      <c r="B109" s="6">
        <v>6</v>
      </c>
      <c r="D109" s="5"/>
      <c r="E109" s="5"/>
      <c r="F109" s="5"/>
      <c r="G109" s="5"/>
    </row>
    <row r="110" spans="1:8" x14ac:dyDescent="0.2">
      <c r="B110" s="6" t="s">
        <v>119</v>
      </c>
      <c r="C110"/>
      <c r="D110" s="6">
        <v>1</v>
      </c>
      <c r="E110" s="7" t="s">
        <v>113</v>
      </c>
    </row>
    <row r="111" spans="1:8" x14ac:dyDescent="0.2">
      <c r="D111" s="6">
        <v>2</v>
      </c>
      <c r="E111" s="7" t="s">
        <v>114</v>
      </c>
    </row>
    <row r="112" spans="1:8" x14ac:dyDescent="0.2">
      <c r="D112" s="6">
        <v>3</v>
      </c>
      <c r="E112" s="7" t="s">
        <v>115</v>
      </c>
    </row>
    <row r="113" spans="4:12" x14ac:dyDescent="0.2">
      <c r="D113" s="6">
        <v>4</v>
      </c>
      <c r="E113" s="7" t="s">
        <v>116</v>
      </c>
    </row>
    <row r="114" spans="4:12" x14ac:dyDescent="0.2">
      <c r="D114" s="6">
        <v>5</v>
      </c>
      <c r="E114" s="7" t="s">
        <v>117</v>
      </c>
    </row>
    <row r="115" spans="4:12" x14ac:dyDescent="0.2">
      <c r="D115" s="6">
        <v>6</v>
      </c>
      <c r="E115" s="7" t="s">
        <v>118</v>
      </c>
    </row>
    <row r="116" spans="4:12" x14ac:dyDescent="0.2">
      <c r="D116" s="6" t="s">
        <v>122</v>
      </c>
      <c r="E116"/>
      <c r="F116"/>
      <c r="G116"/>
    </row>
    <row r="117" spans="4:12" x14ac:dyDescent="0.2">
      <c r="J117" s="1"/>
      <c r="K117" s="1"/>
      <c r="L117" s="1"/>
    </row>
    <row r="118" spans="4:12" x14ac:dyDescent="0.2">
      <c r="J118" s="1"/>
      <c r="K118" s="1"/>
      <c r="L118" s="1"/>
    </row>
    <row r="119" spans="4:12" x14ac:dyDescent="0.2">
      <c r="J119" s="1"/>
      <c r="K119" s="1"/>
      <c r="L119" s="1"/>
    </row>
    <row r="120" spans="4:12" x14ac:dyDescent="0.2">
      <c r="J120" s="1"/>
      <c r="K120" s="1"/>
      <c r="L120" s="1"/>
    </row>
    <row r="121" spans="4:12" x14ac:dyDescent="0.2">
      <c r="J121" s="1"/>
      <c r="K121" s="1"/>
      <c r="L121" s="1"/>
    </row>
    <row r="122" spans="4:12" x14ac:dyDescent="0.2">
      <c r="J122" s="1"/>
      <c r="K122" s="1"/>
      <c r="L122" s="1"/>
    </row>
    <row r="123" spans="4:12" x14ac:dyDescent="0.2">
      <c r="J123" s="1"/>
      <c r="K123" s="1"/>
      <c r="L12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369CF-D512-134D-97EF-8B4F178D978E}">
  <dimension ref="A2:H4"/>
  <sheetViews>
    <sheetView workbookViewId="0">
      <selection activeCell="C1" sqref="C1:E1048576"/>
    </sheetView>
  </sheetViews>
  <sheetFormatPr baseColWidth="10" defaultRowHeight="15" x14ac:dyDescent="0.2"/>
  <sheetData>
    <row r="2" spans="1:8" s="1" customFormat="1" ht="16" x14ac:dyDescent="0.2">
      <c r="A2" s="1" t="s">
        <v>7</v>
      </c>
      <c r="B2" s="1" t="s">
        <v>29</v>
      </c>
      <c r="C2" s="1">
        <v>626</v>
      </c>
      <c r="D2" s="1">
        <v>259</v>
      </c>
      <c r="E2" s="1">
        <v>367</v>
      </c>
      <c r="F2" s="2">
        <v>0.59</v>
      </c>
      <c r="G2" s="2">
        <v>0.624</v>
      </c>
      <c r="H2" s="4">
        <f>F2-G2</f>
        <v>-3.400000000000003E-2</v>
      </c>
    </row>
    <row r="3" spans="1:8" s="1" customFormat="1" ht="16" x14ac:dyDescent="0.2">
      <c r="A3" s="1" t="s">
        <v>7</v>
      </c>
      <c r="B3" s="1" t="s">
        <v>30</v>
      </c>
      <c r="C3" s="1">
        <v>381</v>
      </c>
      <c r="D3" s="1">
        <v>172</v>
      </c>
      <c r="E3" s="1">
        <v>209</v>
      </c>
      <c r="F3" s="2">
        <v>0.39200000000000002</v>
      </c>
      <c r="G3" s="2">
        <v>0.35499999999999998</v>
      </c>
      <c r="H3" s="4">
        <f t="shared" ref="H3:H4" si="0">F3-G3</f>
        <v>3.7000000000000033E-2</v>
      </c>
    </row>
    <row r="4" spans="1:8" s="1" customFormat="1" ht="16" x14ac:dyDescent="0.2">
      <c r="A4" s="1" t="s">
        <v>7</v>
      </c>
      <c r="B4" s="1" t="s">
        <v>31</v>
      </c>
      <c r="C4" s="1">
        <v>20</v>
      </c>
      <c r="D4" s="1">
        <v>8</v>
      </c>
      <c r="E4" s="1">
        <v>12</v>
      </c>
      <c r="F4" s="2">
        <v>1.7999999999999999E-2</v>
      </c>
      <c r="G4" s="2">
        <v>0.02</v>
      </c>
      <c r="H4" s="4">
        <f t="shared" si="0"/>
        <v>-2.0000000000000018E-3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2026-01-20T18:13:04Z</dcterms:created>
  <dcterms:modified xsi:type="dcterms:W3CDTF">2026-01-21T15:55:31Z</dcterms:modified>
</cp:coreProperties>
</file>