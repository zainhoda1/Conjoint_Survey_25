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main/model_output/apollo/"/>
    </mc:Choice>
  </mc:AlternateContent>
  <xr:revisionPtr revIDLastSave="0" documentId="13_ncr:1_{CADF585C-81F0-1A4F-AA89-A99B4EB4F7A0}" xr6:coauthVersionLast="47" xr6:coauthVersionMax="47" xr10:uidLastSave="{00000000-0000-0000-0000-000000000000}"/>
  <bookViews>
    <workbookView xWindow="0" yWindow="680" windowWidth="30240" windowHeight="16680" activeTab="1" xr2:uid="{00000000-000D-0000-FFFF-FFFF00000000}"/>
  </bookViews>
  <sheets>
    <sheet name="coef_fit" sheetId="1" r:id="rId1"/>
    <sheet name="WTP_interpretation" sheetId="2" r:id="rId2"/>
    <sheet name="Factor_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D14" i="2"/>
  <c r="D13" i="2"/>
  <c r="D8" i="2"/>
  <c r="D7" i="2"/>
  <c r="D6" i="2"/>
</calcChain>
</file>

<file path=xl/sharedStrings.xml><?xml version="1.0" encoding="utf-8"?>
<sst xmlns="http://schemas.openxmlformats.org/spreadsheetml/2006/main" count="354" uniqueCount="184">
  <si>
    <t>variables/fit_indices</t>
  </si>
  <si>
    <t>est_m1</t>
  </si>
  <si>
    <t>std_err_m1</t>
  </si>
  <si>
    <t>p_val_m1</t>
  </si>
  <si>
    <t>sig_m1</t>
  </si>
  <si>
    <t>fit_indice_m1</t>
  </si>
  <si>
    <t>est_m2</t>
  </si>
  <si>
    <t>std_err_m2</t>
  </si>
  <si>
    <t>p_val_m2</t>
  </si>
  <si>
    <t>sig_m2</t>
  </si>
  <si>
    <t>fit_indice_m2</t>
  </si>
  <si>
    <t>est_m3</t>
  </si>
  <si>
    <t>std_err_m3</t>
  </si>
  <si>
    <t>p_val_m3</t>
  </si>
  <si>
    <t>sig_m3</t>
  </si>
  <si>
    <t>fit_indice_m3</t>
  </si>
  <si>
    <t>est_m4</t>
  </si>
  <si>
    <t>std_err_m4</t>
  </si>
  <si>
    <t>p_val_m4</t>
  </si>
  <si>
    <t>sig_m4</t>
  </si>
  <si>
    <t>fit_indice_m4</t>
  </si>
  <si>
    <t>b_mileage</t>
  </si>
  <si>
    <t>b_price</t>
  </si>
  <si>
    <t>b_range_year0</t>
  </si>
  <si>
    <t>b_degradation</t>
  </si>
  <si>
    <t>b_packreplace</t>
  </si>
  <si>
    <t>b_cellreplace</t>
  </si>
  <si>
    <t>b_mileage_a</t>
  </si>
  <si>
    <t>b_range_year0_a</t>
  </si>
  <si>
    <t>b_degradation_a</t>
  </si>
  <si>
    <t>b_packreplace_a</t>
  </si>
  <si>
    <t>b_cellreplace_a</t>
  </si>
  <si>
    <t>b_price_a</t>
  </si>
  <si>
    <t>b_mileage_b</t>
  </si>
  <si>
    <t>b_range_year0_b</t>
  </si>
  <si>
    <t>b_degradation_b</t>
  </si>
  <si>
    <t>b_packreplace_b</t>
  </si>
  <si>
    <t>b_cellreplace_b</t>
  </si>
  <si>
    <t>b_price_b</t>
  </si>
  <si>
    <t>delta_a</t>
  </si>
  <si>
    <t>gamma_used_bev_a</t>
  </si>
  <si>
    <t>gamma_EV_benefit_a</t>
  </si>
  <si>
    <t>gamma_EV_anxiety_a</t>
  </si>
  <si>
    <t>delta_b</t>
  </si>
  <si>
    <t>gamma_used_bev_b</t>
  </si>
  <si>
    <t>gamma_EV_benefit_b</t>
  </si>
  <si>
    <t>gamma_EV_anxiety_b</t>
  </si>
  <si>
    <t>b_mileage_c</t>
  </si>
  <si>
    <t>b_range_year0_c</t>
  </si>
  <si>
    <t>b_degradation_c</t>
  </si>
  <si>
    <t>b_packreplace_c</t>
  </si>
  <si>
    <t>b_cellreplace_c</t>
  </si>
  <si>
    <t>b_price_c</t>
  </si>
  <si>
    <t>delta_c</t>
  </si>
  <si>
    <t>gamma_used_bev_c</t>
  </si>
  <si>
    <t>gamma_EV_benefit_c</t>
  </si>
  <si>
    <t>gamma_EV_anxiety_c</t>
  </si>
  <si>
    <t>b_mileage_d</t>
  </si>
  <si>
    <t>b_range_year0_d</t>
  </si>
  <si>
    <t>b_degradation_d</t>
  </si>
  <si>
    <t>b_packreplace_d</t>
  </si>
  <si>
    <t>b_cellreplace_d</t>
  </si>
  <si>
    <t>b_price_d</t>
  </si>
  <si>
    <t>delta_d</t>
  </si>
  <si>
    <t>gamma_used_bev_d</t>
  </si>
  <si>
    <t>gamma_EV_benefit_d</t>
  </si>
  <si>
    <t>gamma_EV_anxiety_d</t>
  </si>
  <si>
    <t xml:space="preserve">Number of individuals                       </t>
  </si>
  <si>
    <t xml:space="preserve">Number of rows in database                  </t>
  </si>
  <si>
    <t xml:space="preserve">LL(start)                                   </t>
  </si>
  <si>
    <t xml:space="preserve">LL (whole model) at equal shares, LL(0)     </t>
  </si>
  <si>
    <t xml:space="preserve">LL (whole model) at observed shares, LL(C)  </t>
  </si>
  <si>
    <t xml:space="preserve">LL(final, whole model)                      </t>
  </si>
  <si>
    <t xml:space="preserve">Rho-squared vs equal shares                  </t>
  </si>
  <si>
    <t xml:space="preserve">Adj.Rho-squared vs equal shares              </t>
  </si>
  <si>
    <t xml:space="preserve">Rho-squared vs observed shares               </t>
  </si>
  <si>
    <t xml:space="preserve">Adj.Rho-squared vs observed shares           </t>
  </si>
  <si>
    <t xml:space="preserve">AIC                                         </t>
  </si>
  <si>
    <t xml:space="preserve">BIC                                         </t>
  </si>
  <si>
    <t>***</t>
  </si>
  <si>
    <t>373</t>
  </si>
  <si>
    <t>2238</t>
  </si>
  <si>
    <t>-3102.53</t>
  </si>
  <si>
    <t>-2995.04</t>
  </si>
  <si>
    <t>-2708.75</t>
  </si>
  <si>
    <t xml:space="preserve"> 0.1269 </t>
  </si>
  <si>
    <t xml:space="preserve"> 0.1247 </t>
  </si>
  <si>
    <t xml:space="preserve"> 0.0956 </t>
  </si>
  <si>
    <t xml:space="preserve"> 0.0943 </t>
  </si>
  <si>
    <t xml:space="preserve"> 5431.49 </t>
  </si>
  <si>
    <t xml:space="preserve"> 5471.48 </t>
  </si>
  <si>
    <t>.</t>
  </si>
  <si>
    <t>**</t>
  </si>
  <si>
    <t xml:space="preserve"> </t>
  </si>
  <si>
    <t>-3291.46</t>
  </si>
  <si>
    <t>-2495.65</t>
  </si>
  <si>
    <t xml:space="preserve"> 0.1956 </t>
  </si>
  <si>
    <t xml:space="preserve"> 0.1898 </t>
  </si>
  <si>
    <t xml:space="preserve"> 0.1667 </t>
  </si>
  <si>
    <t xml:space="preserve"> 0.1627 </t>
  </si>
  <si>
    <t xml:space="preserve"> 5027.3 </t>
  </si>
  <si>
    <t xml:space="preserve"> 5130.14 </t>
  </si>
  <si>
    <t>*</t>
  </si>
  <si>
    <t>-3440.89</t>
  </si>
  <si>
    <t>-2436.55</t>
  </si>
  <si>
    <t xml:space="preserve"> 0.2147 </t>
  </si>
  <si>
    <t xml:space="preserve"> 0.2053 </t>
  </si>
  <si>
    <t xml:space="preserve"> 0.1865 </t>
  </si>
  <si>
    <t xml:space="preserve"> 0.1798 </t>
  </si>
  <si>
    <t xml:space="preserve"> 4931.11 </t>
  </si>
  <si>
    <t xml:space="preserve"> 5096.79 </t>
  </si>
  <si>
    <t>-2544.79</t>
  </si>
  <si>
    <t>-2408.2</t>
  </si>
  <si>
    <t xml:space="preserve"> 0.2238 </t>
  </si>
  <si>
    <t xml:space="preserve"> 0.2109 </t>
  </si>
  <si>
    <t xml:space="preserve"> 0.1959 </t>
  </si>
  <si>
    <t xml:space="preserve"> 0.1866 </t>
  </si>
  <si>
    <t xml:space="preserve"> 4896.41 </t>
  </si>
  <si>
    <t xml:space="preserve"> 5124.94 </t>
  </si>
  <si>
    <t>b_no_choice_a</t>
  </si>
  <si>
    <t>b_no_choice_b</t>
  </si>
  <si>
    <t>b_no_choice_c</t>
  </si>
  <si>
    <t>b_no_choice_d</t>
  </si>
  <si>
    <t>b_no_choice</t>
  </si>
  <si>
    <t>mileage</t>
  </si>
  <si>
    <t>range_year0</t>
  </si>
  <si>
    <t>degradation</t>
  </si>
  <si>
    <t>packreplace</t>
  </si>
  <si>
    <t>cellreplace</t>
  </si>
  <si>
    <t>class_allocation</t>
  </si>
  <si>
    <t>share</t>
  </si>
  <si>
    <t>n</t>
  </si>
  <si>
    <t>no choice</t>
  </si>
  <si>
    <t>FA_EV_benefit</t>
  </si>
  <si>
    <t>FA_EV_anxiety</t>
  </si>
  <si>
    <t>next_veh_fuel_used_bev</t>
  </si>
  <si>
    <t>Class_1</t>
  </si>
  <si>
    <t>Class_2</t>
  </si>
  <si>
    <t>Class_3</t>
  </si>
  <si>
    <t>Class Characteristics</t>
  </si>
  <si>
    <t>People who are important to me think that I should buy an EV.</t>
  </si>
  <si>
    <t>Driving an EV would eventually result in cost savings.</t>
  </si>
  <si>
    <t>Driving an EV would be beneficial to the environment in the long term.</t>
  </si>
  <si>
    <t>If I owned a BEV, I would often worry about running out of charge.</t>
  </si>
  <si>
    <t>BEVs are less valuable than gasoline cars on the resale market, because the technology is always advancing.</t>
  </si>
  <si>
    <t>The price of an EV is too high.</t>
  </si>
  <si>
    <t>Class Name</t>
  </si>
  <si>
    <t>Attributes (WTP unit: $10,000)</t>
  </si>
  <si>
    <t>10,000 miles on the odometer</t>
  </si>
  <si>
    <t>100 miles of battery range</t>
  </si>
  <si>
    <t>1% increase annually in battery degradation</t>
  </si>
  <si>
    <t>refurbished pack replacement (vs new battery)</t>
  </si>
  <si>
    <t>refurbished cell replacement (vs new battery)</t>
  </si>
  <si>
    <t>Active Indicators (included in the model)</t>
  </si>
  <si>
    <t>factor score</t>
  </si>
  <si>
    <t>1 to 5 scale</t>
  </si>
  <si>
    <t>EVB_good_for_environment</t>
  </si>
  <si>
    <t>EVB_function_worse</t>
  </si>
  <si>
    <t>Inactive indicators (only used for describing the class)</t>
  </si>
  <si>
    <t>Not statistically significant at 90% confidence level</t>
  </si>
  <si>
    <t>base model (one class)</t>
  </si>
  <si>
    <t xml:space="preserve">* less concerns about BEV range --&gt; lower WTP for additional range, and also lower disutility for battery degradation
</t>
  </si>
  <si>
    <t xml:space="preserve">* most concerns about BEV range --&gt;higher WTP for additional range and higher disutility for mileage and battery degradation
* less postive attitudes towards EVB --&gt; higher disutility for refurbished EVBs. </t>
  </si>
  <si>
    <t xml:space="preserve">* some concerns about BEV range --&gt; higher WTP for additional range, and also higher disutility for battery degradation
* more likely to agree with the statement "Driving an EV would eventually result in cost savings" --&gt; less disutility for the mileage, as they are more likely to keep the vehicle for longer
* more postive attitudes towards EVB --&gt; lower disutility for refurbished EVBs. </t>
  </si>
  <si>
    <t>Estimate</t>
  </si>
  <si>
    <t>Rob.std.err.</t>
  </si>
  <si>
    <t>Rob.p-val(0)</t>
  </si>
  <si>
    <t>NA</t>
  </si>
  <si>
    <t>b_log_price_a</t>
  </si>
  <si>
    <t>b_log_price_b</t>
  </si>
  <si>
    <t>b_log_price_c</t>
  </si>
  <si>
    <t>:</t>
  </si>
  <si>
    <t>Model</t>
  </si>
  <si>
    <t>3-class (price)</t>
  </si>
  <si>
    <t>3-class (log_price)</t>
  </si>
  <si>
    <t>* The model captures heterogeneous monetary sensitivity without explicitly adding interactions with income.</t>
  </si>
  <si>
    <t>* log(price) model assumes that what matters is the percentage increase in price, not the dollar increase.</t>
  </si>
  <si>
    <t>* elasticity of utility with respect to price — that is, how much utility changes proportionally to a percentage change in price.</t>
  </si>
  <si>
    <t>Class_1 (veh_price (unit: $10,000))</t>
  </si>
  <si>
    <t>Class_2 veh_price (unit: $10,000)</t>
  </si>
  <si>
    <t>Class_3 veh_price (unit: $10,000)</t>
  </si>
  <si>
    <r>
      <rPr>
        <b/>
        <sz val="11"/>
        <color theme="1"/>
        <rFont val="Aptos Narrow"/>
        <scheme val="minor"/>
      </rPr>
      <t>BEV Cautiously Open Consumers:</t>
    </r>
    <r>
      <rPr>
        <sz val="11"/>
        <color theme="1"/>
        <rFont val="Aptos Narrow"/>
        <scheme val="minor"/>
      </rPr>
      <t xml:space="preserve"> most postive attitudes, anxiety level near neutral, moderately Interested in used BEV</t>
    </r>
  </si>
  <si>
    <r>
      <rPr>
        <b/>
        <sz val="11"/>
        <color theme="1"/>
        <rFont val="Aptos Narrow"/>
        <scheme val="minor"/>
      </rPr>
      <t>BEV Low-anxiety Consumers:</t>
    </r>
    <r>
      <rPr>
        <sz val="11"/>
        <color theme="1"/>
        <rFont val="Aptos Narrow"/>
        <scheme val="minor"/>
      </rPr>
      <t xml:space="preserve"> postive attitudes, least anxiety, moderately Interested in used BEV</t>
    </r>
  </si>
  <si>
    <r>
      <rPr>
        <b/>
        <sz val="11"/>
        <color theme="1"/>
        <rFont val="Aptos Narrow"/>
        <scheme val="minor"/>
      </rPr>
      <t>BEV Skeptics:</t>
    </r>
    <r>
      <rPr>
        <sz val="11"/>
        <color theme="1"/>
        <rFont val="Aptos Narrow"/>
        <scheme val="minor"/>
      </rPr>
      <t xml:space="preserve"> Negative attitudes, high anxiety, low used BEV interest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</si>
</sst>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"/>
    <numFmt numFmtId="165" formatCode="&quot;$&quot;#,##0.0_);[Red]\(&quot;$&quot;#,##0.0\)"/>
  </numFmts>
  <fonts count="1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1F1F1F"/>
      <name val="Calibri"/>
      <family val="2"/>
    </font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9"/>
      <color theme="1"/>
      <name val="Aptos Narrow"/>
      <scheme val="minor"/>
    </font>
    <font>
      <sz val="8"/>
      <color theme="1"/>
      <name val="Aptos Narrow"/>
      <scheme val="minor"/>
    </font>
    <font>
      <sz val="11"/>
      <color theme="1"/>
      <name val="Aptos Narrow"/>
      <scheme val="minor"/>
    </font>
    <font>
      <sz val="11"/>
      <color indexed="8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2" fontId="0" fillId="0" borderId="0" xfId="0" applyNumberFormat="1"/>
    <xf numFmtId="164" fontId="0" fillId="0" borderId="0" xfId="0" applyNumberFormat="1"/>
    <xf numFmtId="2" fontId="2" fillId="0" borderId="0" xfId="0" applyNumberFormat="1" applyFont="1" applyAlignment="1">
      <alignment wrapText="1"/>
    </xf>
    <xf numFmtId="9" fontId="2" fillId="0" borderId="0" xfId="1" applyFont="1" applyAlignment="1">
      <alignment wrapText="1"/>
    </xf>
    <xf numFmtId="1" fontId="2" fillId="0" borderId="0" xfId="0" applyNumberFormat="1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2" fontId="6" fillId="0" borderId="0" xfId="0" applyNumberFormat="1" applyFont="1" applyAlignment="1">
      <alignment wrapText="1"/>
    </xf>
    <xf numFmtId="9" fontId="6" fillId="0" borderId="0" xfId="1" applyFont="1" applyAlignment="1">
      <alignment wrapText="1"/>
    </xf>
    <xf numFmtId="1" fontId="6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2" fontId="7" fillId="0" borderId="0" xfId="0" applyNumberFormat="1" applyFont="1" applyAlignment="1">
      <alignment wrapText="1"/>
    </xf>
    <xf numFmtId="1" fontId="2" fillId="0" borderId="0" xfId="1" applyNumberFormat="1" applyFont="1" applyAlignment="1">
      <alignment wrapText="1"/>
    </xf>
    <xf numFmtId="164" fontId="0" fillId="2" borderId="0" xfId="0" applyNumberFormat="1" applyFill="1"/>
    <xf numFmtId="0" fontId="8" fillId="0" borderId="0" xfId="0" applyFont="1" applyAlignment="1">
      <alignment wrapText="1"/>
    </xf>
    <xf numFmtId="2" fontId="8" fillId="0" borderId="0" xfId="0" applyNumberFormat="1" applyFont="1" applyAlignment="1">
      <alignment wrapText="1"/>
    </xf>
    <xf numFmtId="9" fontId="8" fillId="0" borderId="0" xfId="1" applyFont="1" applyAlignment="1">
      <alignment wrapText="1"/>
    </xf>
    <xf numFmtId="1" fontId="8" fillId="0" borderId="0" xfId="0" applyNumberFormat="1" applyFont="1" applyAlignment="1">
      <alignment wrapText="1"/>
    </xf>
    <xf numFmtId="0" fontId="9" fillId="3" borderId="0" xfId="0" applyFont="1" applyFill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2" fontId="10" fillId="0" borderId="0" xfId="0" applyNumberFormat="1" applyFont="1" applyAlignment="1">
      <alignment wrapText="1"/>
    </xf>
    <xf numFmtId="2" fontId="11" fillId="0" borderId="0" xfId="0" applyNumberFormat="1" applyFont="1" applyAlignment="1">
      <alignment wrapText="1"/>
    </xf>
    <xf numFmtId="2" fontId="10" fillId="3" borderId="0" xfId="0" applyNumberFormat="1" applyFont="1" applyFill="1" applyAlignment="1">
      <alignment wrapText="1"/>
    </xf>
    <xf numFmtId="9" fontId="10" fillId="0" borderId="0" xfId="1" applyFont="1" applyAlignment="1">
      <alignment wrapText="1"/>
    </xf>
    <xf numFmtId="8" fontId="10" fillId="0" borderId="0" xfId="0" applyNumberFormat="1" applyFont="1" applyAlignment="1">
      <alignment wrapText="1"/>
    </xf>
    <xf numFmtId="165" fontId="10" fillId="0" borderId="0" xfId="0" applyNumberFormat="1" applyFont="1" applyAlignment="1">
      <alignment wrapText="1"/>
    </xf>
    <xf numFmtId="2" fontId="2" fillId="3" borderId="0" xfId="0" applyNumberFormat="1" applyFont="1" applyFill="1" applyAlignment="1">
      <alignment wrapText="1"/>
    </xf>
    <xf numFmtId="2" fontId="6" fillId="2" borderId="0" xfId="0" applyNumberFormat="1" applyFont="1" applyFill="1" applyAlignment="1">
      <alignment horizontal="center" wrapText="1"/>
    </xf>
    <xf numFmtId="2" fontId="7" fillId="2" borderId="0" xfId="0" applyNumberFormat="1" applyFont="1" applyFill="1" applyAlignment="1">
      <alignment horizontal="center" wrapText="1"/>
    </xf>
    <xf numFmtId="0" fontId="10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0</xdr:col>
      <xdr:colOff>4000500</xdr:colOff>
      <xdr:row>25</xdr:row>
      <xdr:rowOff>4233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4A1327-2574-4CDC-8912-AFD4EE6DA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9933"/>
          <a:ext cx="4000500" cy="273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6"/>
  <sheetViews>
    <sheetView zoomScale="136" workbookViewId="0">
      <pane xSplit="1" ySplit="1" topLeftCell="N13" activePane="bottomRight" state="frozen"/>
      <selection pane="topRight" activeCell="B1" sqref="B1"/>
      <selection pane="bottomLeft" activeCell="A2" sqref="A2"/>
      <selection pane="bottomRight" activeCell="V34" sqref="V34"/>
    </sheetView>
  </sheetViews>
  <sheetFormatPr baseColWidth="10" defaultColWidth="8.83203125" defaultRowHeight="15" x14ac:dyDescent="0.2"/>
  <cols>
    <col min="1" max="1" width="21.6640625" customWidth="1"/>
    <col min="2" max="3" width="8.83203125" style="1"/>
    <col min="11" max="11" width="8.83203125" style="7"/>
    <col min="12" max="16" width="8.83203125" style="8"/>
    <col min="23" max="23" width="18.33203125" customWidth="1"/>
    <col min="24" max="26" width="8.83203125" style="2"/>
    <col min="28" max="28" width="13.6640625" customWidth="1"/>
    <col min="29" max="31" width="8.83203125" style="1"/>
  </cols>
  <sheetData>
    <row r="1" spans="1:31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X1" s="2" t="s">
        <v>16</v>
      </c>
      <c r="Y1" s="2" t="s">
        <v>17</v>
      </c>
      <c r="Z1" s="2" t="s">
        <v>18</v>
      </c>
      <c r="AA1" t="s">
        <v>20</v>
      </c>
    </row>
    <row r="2" spans="1:31" x14ac:dyDescent="0.2">
      <c r="A2" t="s">
        <v>123</v>
      </c>
      <c r="B2" s="1">
        <v>-2.2999999999999998</v>
      </c>
      <c r="C2" s="1">
        <v>0.32</v>
      </c>
      <c r="D2">
        <v>0</v>
      </c>
      <c r="E2" t="s">
        <v>79</v>
      </c>
    </row>
    <row r="3" spans="1:31" x14ac:dyDescent="0.2">
      <c r="A3" t="s">
        <v>21</v>
      </c>
      <c r="B3" s="1">
        <v>-0.18</v>
      </c>
      <c r="C3" s="1">
        <v>0.03</v>
      </c>
      <c r="D3">
        <v>0</v>
      </c>
      <c r="E3" t="s">
        <v>79</v>
      </c>
    </row>
    <row r="4" spans="1:31" x14ac:dyDescent="0.2">
      <c r="A4" t="s">
        <v>23</v>
      </c>
      <c r="B4" s="1">
        <v>0.44</v>
      </c>
      <c r="C4" s="1">
        <v>0.06</v>
      </c>
      <c r="D4">
        <v>0</v>
      </c>
      <c r="E4" t="s">
        <v>79</v>
      </c>
    </row>
    <row r="5" spans="1:31" x14ac:dyDescent="0.2">
      <c r="A5" t="s">
        <v>24</v>
      </c>
      <c r="B5" s="1">
        <v>-0.25</v>
      </c>
      <c r="C5" s="1">
        <v>0.02</v>
      </c>
      <c r="D5">
        <v>0</v>
      </c>
      <c r="E5" t="s">
        <v>79</v>
      </c>
    </row>
    <row r="6" spans="1:31" x14ac:dyDescent="0.2">
      <c r="A6" t="s">
        <v>25</v>
      </c>
      <c r="B6" s="1">
        <v>-0.32</v>
      </c>
      <c r="C6" s="1">
        <v>0.08</v>
      </c>
      <c r="D6">
        <v>0</v>
      </c>
      <c r="E6" t="s">
        <v>79</v>
      </c>
    </row>
    <row r="7" spans="1:31" x14ac:dyDescent="0.2">
      <c r="A7" t="s">
        <v>26</v>
      </c>
      <c r="B7" s="1">
        <v>-0.39</v>
      </c>
      <c r="C7" s="1">
        <v>0.08</v>
      </c>
      <c r="D7">
        <v>0</v>
      </c>
      <c r="E7" t="s">
        <v>79</v>
      </c>
      <c r="AC7" s="1" t="s">
        <v>164</v>
      </c>
      <c r="AD7" s="1" t="s">
        <v>165</v>
      </c>
      <c r="AE7" s="1" t="s">
        <v>166</v>
      </c>
    </row>
    <row r="8" spans="1:31" x14ac:dyDescent="0.2">
      <c r="A8" t="s">
        <v>22</v>
      </c>
      <c r="B8" s="1">
        <v>-0.27</v>
      </c>
      <c r="C8" s="1">
        <v>0.06</v>
      </c>
      <c r="D8">
        <v>0</v>
      </c>
      <c r="E8" t="s">
        <v>79</v>
      </c>
      <c r="X8" s="2" t="s">
        <v>164</v>
      </c>
      <c r="Y8" s="2" t="s">
        <v>165</v>
      </c>
      <c r="Z8" s="2" t="s">
        <v>166</v>
      </c>
    </row>
    <row r="9" spans="1:31" x14ac:dyDescent="0.2">
      <c r="A9" t="s">
        <v>119</v>
      </c>
      <c r="G9">
        <v>-5.492</v>
      </c>
      <c r="H9">
        <v>0.503</v>
      </c>
      <c r="I9">
        <v>0</v>
      </c>
      <c r="J9" t="s">
        <v>79</v>
      </c>
      <c r="L9" s="8">
        <v>-1.45</v>
      </c>
      <c r="M9" s="8">
        <v>0.75</v>
      </c>
      <c r="N9" s="8">
        <v>5.2999999999999999E-2</v>
      </c>
      <c r="O9" s="8" t="s">
        <v>91</v>
      </c>
      <c r="Q9">
        <v>-0.76500000000000001</v>
      </c>
      <c r="R9">
        <v>1.0640000000000001</v>
      </c>
      <c r="S9">
        <v>0.47199999999999998</v>
      </c>
      <c r="T9" t="s">
        <v>93</v>
      </c>
      <c r="W9" t="s">
        <v>119</v>
      </c>
      <c r="X9" s="1">
        <v>-5.3253040802131899</v>
      </c>
      <c r="Y9" s="1">
        <v>1.58535194093513</v>
      </c>
      <c r="Z9" s="1">
        <v>7.8205980333034798E-4</v>
      </c>
    </row>
    <row r="10" spans="1:31" x14ac:dyDescent="0.2">
      <c r="A10" t="s">
        <v>27</v>
      </c>
      <c r="G10">
        <v>-0.17499999999999999</v>
      </c>
      <c r="H10">
        <v>3.3000000000000002E-2</v>
      </c>
      <c r="I10">
        <v>0</v>
      </c>
      <c r="J10" t="s">
        <v>79</v>
      </c>
      <c r="L10" s="8">
        <v>-0.23799999999999999</v>
      </c>
      <c r="M10" s="8">
        <v>8.8999999999999996E-2</v>
      </c>
      <c r="N10" s="8">
        <v>8.0000000000000002E-3</v>
      </c>
      <c r="O10" s="8" t="s">
        <v>92</v>
      </c>
      <c r="Q10">
        <v>-0.34100000000000003</v>
      </c>
      <c r="R10">
        <v>0.11899999999999999</v>
      </c>
      <c r="S10">
        <v>4.0000000000000001E-3</v>
      </c>
      <c r="T10" t="s">
        <v>92</v>
      </c>
      <c r="W10" t="s">
        <v>27</v>
      </c>
      <c r="X10" s="1">
        <v>1.1449966998109001E-2</v>
      </c>
      <c r="Y10" s="1">
        <v>7.3295883690231795E-2</v>
      </c>
      <c r="Z10" s="1">
        <v>0.87586301023635005</v>
      </c>
    </row>
    <row r="11" spans="1:31" x14ac:dyDescent="0.2">
      <c r="A11" t="s">
        <v>28</v>
      </c>
      <c r="G11">
        <v>0.44400000000000001</v>
      </c>
      <c r="H11">
        <v>7.4999999999999997E-2</v>
      </c>
      <c r="I11">
        <v>0</v>
      </c>
      <c r="J11" t="s">
        <v>79</v>
      </c>
      <c r="L11" s="8">
        <v>0.499</v>
      </c>
      <c r="M11" s="8">
        <v>0.183</v>
      </c>
      <c r="N11" s="8">
        <v>6.0000000000000001E-3</v>
      </c>
      <c r="O11" s="8" t="s">
        <v>92</v>
      </c>
      <c r="Q11">
        <v>0.64700000000000002</v>
      </c>
      <c r="R11">
        <v>0.27</v>
      </c>
      <c r="S11">
        <v>1.6E-2</v>
      </c>
      <c r="T11" t="s">
        <v>102</v>
      </c>
      <c r="W11" t="s">
        <v>28</v>
      </c>
      <c r="X11" s="1">
        <v>1.02221693089836</v>
      </c>
      <c r="Y11" s="1">
        <v>0.22219358545182</v>
      </c>
      <c r="Z11" s="1">
        <v>4.21338332512455E-6</v>
      </c>
    </row>
    <row r="12" spans="1:31" x14ac:dyDescent="0.2">
      <c r="A12" t="s">
        <v>29</v>
      </c>
      <c r="G12">
        <v>-0.252</v>
      </c>
      <c r="H12">
        <v>2.1000000000000001E-2</v>
      </c>
      <c r="I12">
        <v>0</v>
      </c>
      <c r="J12" t="s">
        <v>79</v>
      </c>
      <c r="L12" s="8">
        <v>-0.29599999999999999</v>
      </c>
      <c r="M12" s="8">
        <v>5.7000000000000002E-2</v>
      </c>
      <c r="N12" s="8">
        <v>0</v>
      </c>
      <c r="O12" s="8" t="s">
        <v>79</v>
      </c>
      <c r="Q12">
        <v>-0.39300000000000002</v>
      </c>
      <c r="R12">
        <v>8.5999999999999993E-2</v>
      </c>
      <c r="S12">
        <v>0</v>
      </c>
      <c r="T12" t="s">
        <v>79</v>
      </c>
      <c r="W12" t="s">
        <v>29</v>
      </c>
      <c r="X12" s="1">
        <v>-0.54738948471263804</v>
      </c>
      <c r="Y12" s="1">
        <v>6.0902716173963797E-2</v>
      </c>
      <c r="Z12" s="1">
        <v>0</v>
      </c>
    </row>
    <row r="13" spans="1:31" x14ac:dyDescent="0.2">
      <c r="A13" t="s">
        <v>30</v>
      </c>
      <c r="G13">
        <v>-0.182</v>
      </c>
      <c r="H13">
        <v>9.4E-2</v>
      </c>
      <c r="I13">
        <v>5.2999999999999999E-2</v>
      </c>
      <c r="J13" t="s">
        <v>91</v>
      </c>
      <c r="L13" s="8">
        <v>-1.2030000000000001</v>
      </c>
      <c r="M13" s="8">
        <v>0.31</v>
      </c>
      <c r="N13" s="8">
        <v>0</v>
      </c>
      <c r="O13" s="8" t="s">
        <v>79</v>
      </c>
      <c r="Q13">
        <v>-0.253</v>
      </c>
      <c r="R13">
        <v>0.40899999999999997</v>
      </c>
      <c r="S13">
        <v>0.53500000000000003</v>
      </c>
      <c r="T13" t="s">
        <v>93</v>
      </c>
      <c r="W13" t="s">
        <v>30</v>
      </c>
      <c r="X13" s="1">
        <v>-0.112307846881433</v>
      </c>
      <c r="Y13" s="1">
        <v>0.173716105481905</v>
      </c>
      <c r="Z13" s="1">
        <v>0.51795416345752698</v>
      </c>
    </row>
    <row r="14" spans="1:31" x14ac:dyDescent="0.2">
      <c r="A14" t="s">
        <v>31</v>
      </c>
      <c r="G14">
        <v>-0.25800000000000001</v>
      </c>
      <c r="H14">
        <v>9.1999999999999998E-2</v>
      </c>
      <c r="I14">
        <v>5.0000000000000001E-3</v>
      </c>
      <c r="J14" t="s">
        <v>92</v>
      </c>
      <c r="L14" s="8">
        <v>-1.24</v>
      </c>
      <c r="M14" s="8">
        <v>0.26700000000000002</v>
      </c>
      <c r="N14" s="8">
        <v>0</v>
      </c>
      <c r="O14" s="8" t="s">
        <v>79</v>
      </c>
      <c r="Q14">
        <v>-0.48599999999999999</v>
      </c>
      <c r="R14">
        <v>0.29699999999999999</v>
      </c>
      <c r="S14">
        <v>0.10199999999999999</v>
      </c>
      <c r="T14" t="s">
        <v>93</v>
      </c>
      <c r="W14" t="s">
        <v>31</v>
      </c>
      <c r="X14" s="1">
        <v>-0.186556285990436</v>
      </c>
      <c r="Y14" s="1">
        <v>0.17226704854803501</v>
      </c>
      <c r="Z14" s="1">
        <v>0.278831426572481</v>
      </c>
    </row>
    <row r="15" spans="1:31" x14ac:dyDescent="0.2">
      <c r="A15" t="s">
        <v>32</v>
      </c>
      <c r="G15">
        <v>-0.72499999999999998</v>
      </c>
      <c r="H15">
        <v>9.1999999999999998E-2</v>
      </c>
      <c r="I15">
        <v>0</v>
      </c>
      <c r="J15" t="s">
        <v>79</v>
      </c>
      <c r="L15" s="8">
        <v>-0.48099999999999998</v>
      </c>
      <c r="M15" s="8">
        <v>0.13700000000000001</v>
      </c>
      <c r="N15" s="8">
        <v>0</v>
      </c>
      <c r="O15" s="8" t="s">
        <v>79</v>
      </c>
      <c r="Q15">
        <v>-0.441</v>
      </c>
      <c r="R15">
        <v>0.183</v>
      </c>
      <c r="S15">
        <v>1.6E-2</v>
      </c>
      <c r="T15" t="s">
        <v>102</v>
      </c>
      <c r="W15" t="s">
        <v>168</v>
      </c>
      <c r="X15" s="1">
        <v>-3.1661548503363299</v>
      </c>
      <c r="Y15" s="1">
        <v>0.89720923248645501</v>
      </c>
      <c r="Z15" s="1">
        <v>4.1730275122375799E-4</v>
      </c>
    </row>
    <row r="16" spans="1:31" x14ac:dyDescent="0.2">
      <c r="A16" t="s">
        <v>120</v>
      </c>
      <c r="G16">
        <v>-1.248</v>
      </c>
      <c r="H16">
        <v>0.83899999999999997</v>
      </c>
      <c r="I16">
        <v>0.13700000000000001</v>
      </c>
      <c r="J16" t="s">
        <v>93</v>
      </c>
      <c r="L16" s="8">
        <v>-8.0259999999999998</v>
      </c>
      <c r="M16" s="8">
        <v>1.1160000000000001</v>
      </c>
      <c r="N16" s="8">
        <v>0</v>
      </c>
      <c r="O16" s="8" t="s">
        <v>79</v>
      </c>
      <c r="Q16">
        <v>-8.0410000000000004</v>
      </c>
      <c r="R16">
        <v>1.3839999999999999</v>
      </c>
      <c r="S16">
        <v>0</v>
      </c>
      <c r="T16" t="s">
        <v>79</v>
      </c>
      <c r="W16" t="s">
        <v>120</v>
      </c>
      <c r="X16" s="1">
        <v>-9.3963933644036004</v>
      </c>
      <c r="Y16" s="1">
        <v>1.3739277362028299</v>
      </c>
      <c r="Z16" s="1">
        <v>7.9707351829938505E-12</v>
      </c>
    </row>
    <row r="17" spans="1:26" x14ac:dyDescent="0.2">
      <c r="A17" t="s">
        <v>33</v>
      </c>
      <c r="G17">
        <v>-0.23499999999999999</v>
      </c>
      <c r="H17">
        <v>8.5999999999999993E-2</v>
      </c>
      <c r="I17">
        <v>6.0000000000000001E-3</v>
      </c>
      <c r="J17" t="s">
        <v>92</v>
      </c>
      <c r="L17" s="8">
        <v>-0.34499999999999997</v>
      </c>
      <c r="M17" s="8">
        <v>7.0999999999999994E-2</v>
      </c>
      <c r="N17" s="8">
        <v>0</v>
      </c>
      <c r="O17" s="8" t="s">
        <v>79</v>
      </c>
      <c r="Q17">
        <v>-0.34399999999999997</v>
      </c>
      <c r="R17">
        <v>7.3999999999999996E-2</v>
      </c>
      <c r="S17">
        <v>0</v>
      </c>
      <c r="T17" t="s">
        <v>79</v>
      </c>
      <c r="W17" t="s">
        <v>33</v>
      </c>
      <c r="X17" s="1">
        <v>-0.35582808019360301</v>
      </c>
      <c r="Y17" s="1">
        <v>6.9261267102972798E-2</v>
      </c>
      <c r="Z17" s="1">
        <v>2.78453385460509E-7</v>
      </c>
    </row>
    <row r="18" spans="1:26" x14ac:dyDescent="0.2">
      <c r="A18" t="s">
        <v>34</v>
      </c>
      <c r="G18">
        <v>0.58799999999999997</v>
      </c>
      <c r="H18">
        <v>0.19600000000000001</v>
      </c>
      <c r="I18">
        <v>3.0000000000000001E-3</v>
      </c>
      <c r="J18" t="s">
        <v>92</v>
      </c>
      <c r="L18" s="8">
        <v>0.02</v>
      </c>
      <c r="M18" s="8">
        <v>0.13100000000000001</v>
      </c>
      <c r="N18" s="8">
        <v>0.88200000000000001</v>
      </c>
      <c r="O18" s="8" t="s">
        <v>93</v>
      </c>
      <c r="Q18">
        <v>0.02</v>
      </c>
      <c r="R18">
        <v>0.14799999999999999</v>
      </c>
      <c r="S18">
        <v>0.89100000000000001</v>
      </c>
      <c r="T18" t="s">
        <v>93</v>
      </c>
      <c r="W18" t="s">
        <v>34</v>
      </c>
      <c r="X18" s="1">
        <v>3.0078203693580399E-2</v>
      </c>
      <c r="Y18" s="1">
        <v>0.132577611492918</v>
      </c>
      <c r="Z18" s="1">
        <v>0.82052294774046597</v>
      </c>
    </row>
    <row r="19" spans="1:26" x14ac:dyDescent="0.2">
      <c r="A19" t="s">
        <v>35</v>
      </c>
      <c r="G19">
        <v>-0.32300000000000001</v>
      </c>
      <c r="H19">
        <v>5.7000000000000002E-2</v>
      </c>
      <c r="I19">
        <v>0</v>
      </c>
      <c r="J19" t="s">
        <v>79</v>
      </c>
      <c r="L19" s="8">
        <v>-5.1999999999999998E-2</v>
      </c>
      <c r="M19" s="8">
        <v>2.5999999999999999E-2</v>
      </c>
      <c r="N19" s="8">
        <v>4.2000000000000003E-2</v>
      </c>
      <c r="O19" s="8" t="s">
        <v>102</v>
      </c>
      <c r="Q19">
        <v>-5.3999999999999999E-2</v>
      </c>
      <c r="R19">
        <v>2.8000000000000001E-2</v>
      </c>
      <c r="S19">
        <v>4.9000000000000002E-2</v>
      </c>
      <c r="T19" t="s">
        <v>102</v>
      </c>
      <c r="W19" t="s">
        <v>35</v>
      </c>
      <c r="X19" s="1">
        <v>-5.4301846662674201E-2</v>
      </c>
      <c r="Y19" s="1">
        <v>2.8138203163417402E-2</v>
      </c>
      <c r="Z19" s="1">
        <v>5.3628354105723398E-2</v>
      </c>
    </row>
    <row r="20" spans="1:26" x14ac:dyDescent="0.2">
      <c r="A20" t="s">
        <v>36</v>
      </c>
      <c r="G20">
        <v>-1.1180000000000001</v>
      </c>
      <c r="H20">
        <v>0.32100000000000001</v>
      </c>
      <c r="I20">
        <v>0</v>
      </c>
      <c r="J20" t="s">
        <v>79</v>
      </c>
      <c r="L20" s="8">
        <v>-0.251</v>
      </c>
      <c r="M20" s="8">
        <v>0.16400000000000001</v>
      </c>
      <c r="N20" s="8">
        <v>0.125</v>
      </c>
      <c r="O20" s="8" t="s">
        <v>93</v>
      </c>
      <c r="Q20">
        <v>-0.152</v>
      </c>
      <c r="R20">
        <v>0.192</v>
      </c>
      <c r="S20">
        <v>0.43099999999999999</v>
      </c>
      <c r="T20" t="s">
        <v>93</v>
      </c>
      <c r="W20" t="s">
        <v>36</v>
      </c>
      <c r="X20" s="1">
        <v>-0.248426183887653</v>
      </c>
      <c r="Y20" s="1">
        <v>0.16485335019410299</v>
      </c>
      <c r="Z20" s="1">
        <v>0.131822808612897</v>
      </c>
    </row>
    <row r="21" spans="1:26" x14ac:dyDescent="0.2">
      <c r="A21" t="s">
        <v>37</v>
      </c>
      <c r="G21">
        <v>-1.202</v>
      </c>
      <c r="H21">
        <v>0.27800000000000002</v>
      </c>
      <c r="I21">
        <v>0</v>
      </c>
      <c r="J21" t="s">
        <v>79</v>
      </c>
      <c r="L21" s="8">
        <v>-0.38800000000000001</v>
      </c>
      <c r="M21" s="8">
        <v>0.17299999999999999</v>
      </c>
      <c r="N21" s="8">
        <v>2.5000000000000001E-2</v>
      </c>
      <c r="O21" s="8" t="s">
        <v>102</v>
      </c>
      <c r="Q21">
        <v>-0.28799999999999998</v>
      </c>
      <c r="R21">
        <v>0.19600000000000001</v>
      </c>
      <c r="S21">
        <v>0.14099999999999999</v>
      </c>
      <c r="T21" t="s">
        <v>93</v>
      </c>
      <c r="W21" t="s">
        <v>37</v>
      </c>
      <c r="X21" s="1">
        <v>-0.39272981106986099</v>
      </c>
      <c r="Y21" s="1">
        <v>0.17377087384626699</v>
      </c>
      <c r="Z21" s="1">
        <v>2.3818523641627998E-2</v>
      </c>
    </row>
    <row r="22" spans="1:26" x14ac:dyDescent="0.2">
      <c r="A22" t="s">
        <v>38</v>
      </c>
      <c r="G22">
        <v>-0.47599999999999998</v>
      </c>
      <c r="H22">
        <v>0.13600000000000001</v>
      </c>
      <c r="I22">
        <v>0</v>
      </c>
      <c r="J22" t="s">
        <v>79</v>
      </c>
      <c r="L22" s="8">
        <v>-0.67100000000000004</v>
      </c>
      <c r="M22" s="8">
        <v>0.20200000000000001</v>
      </c>
      <c r="N22" s="8">
        <v>1E-3</v>
      </c>
      <c r="O22" s="8" t="s">
        <v>79</v>
      </c>
      <c r="Q22">
        <v>-0.66400000000000003</v>
      </c>
      <c r="R22">
        <v>0.20399999999999999</v>
      </c>
      <c r="S22">
        <v>1E-3</v>
      </c>
      <c r="T22" t="s">
        <v>92</v>
      </c>
      <c r="W22" t="s">
        <v>169</v>
      </c>
      <c r="X22" s="1">
        <v>-3.0942003202427699</v>
      </c>
      <c r="Y22" s="1">
        <v>0.75388751717233704</v>
      </c>
      <c r="Z22" s="1">
        <v>4.0549490504915298E-5</v>
      </c>
    </row>
    <row r="23" spans="1:26" x14ac:dyDescent="0.2">
      <c r="A23" t="s">
        <v>121</v>
      </c>
      <c r="L23" s="8">
        <v>-4.4470000000000001</v>
      </c>
      <c r="M23" s="8">
        <v>1.145</v>
      </c>
      <c r="N23" s="8">
        <v>0</v>
      </c>
      <c r="O23" s="8" t="s">
        <v>79</v>
      </c>
      <c r="Q23">
        <v>-3.077</v>
      </c>
      <c r="R23">
        <v>1.8009999999999999</v>
      </c>
      <c r="S23">
        <v>8.7999999999999995E-2</v>
      </c>
      <c r="T23" t="s">
        <v>91</v>
      </c>
      <c r="W23" t="s">
        <v>121</v>
      </c>
      <c r="X23" s="1">
        <v>-0.859666187687945</v>
      </c>
      <c r="Y23" s="1">
        <v>0.65946787706154497</v>
      </c>
      <c r="Z23" s="1">
        <v>0.19237834821258801</v>
      </c>
    </row>
    <row r="24" spans="1:26" x14ac:dyDescent="0.2">
      <c r="A24" t="s">
        <v>47</v>
      </c>
      <c r="L24" s="8">
        <v>-1.7000000000000001E-2</v>
      </c>
      <c r="M24" s="8">
        <v>6.9000000000000006E-2</v>
      </c>
      <c r="N24" s="8">
        <v>0.80200000000000005</v>
      </c>
      <c r="O24" s="8" t="s">
        <v>93</v>
      </c>
      <c r="Q24">
        <v>-0.08</v>
      </c>
      <c r="R24">
        <v>0.24</v>
      </c>
      <c r="S24">
        <v>0.74</v>
      </c>
      <c r="T24" t="s">
        <v>93</v>
      </c>
      <c r="W24" t="s">
        <v>47</v>
      </c>
      <c r="X24" s="1">
        <v>-0.24182217985044099</v>
      </c>
      <c r="Y24" s="1">
        <v>8.1882293850407795E-2</v>
      </c>
      <c r="Z24" s="1">
        <v>3.1440619398475098E-3</v>
      </c>
    </row>
    <row r="25" spans="1:26" x14ac:dyDescent="0.2">
      <c r="A25" t="s">
        <v>48</v>
      </c>
      <c r="L25" s="8">
        <v>0.997</v>
      </c>
      <c r="M25" s="8">
        <v>0.19600000000000001</v>
      </c>
      <c r="N25" s="8">
        <v>0</v>
      </c>
      <c r="O25" s="8" t="s">
        <v>79</v>
      </c>
      <c r="Q25">
        <v>0.58499999999999996</v>
      </c>
      <c r="R25">
        <v>0.38100000000000001</v>
      </c>
      <c r="S25">
        <v>0.125</v>
      </c>
      <c r="T25" t="s">
        <v>93</v>
      </c>
      <c r="W25" t="s">
        <v>48</v>
      </c>
      <c r="X25" s="1">
        <v>0.52898361896204305</v>
      </c>
      <c r="Y25" s="1">
        <v>0.177519690371435</v>
      </c>
      <c r="Z25" s="1">
        <v>2.8838123999568302E-3</v>
      </c>
    </row>
    <row r="26" spans="1:26" x14ac:dyDescent="0.2">
      <c r="A26" t="s">
        <v>49</v>
      </c>
      <c r="L26" s="8">
        <v>-0.53700000000000003</v>
      </c>
      <c r="M26" s="8">
        <v>5.2999999999999999E-2</v>
      </c>
      <c r="N26" s="8">
        <v>0</v>
      </c>
      <c r="O26" s="8" t="s">
        <v>79</v>
      </c>
      <c r="Q26">
        <v>-0.218</v>
      </c>
      <c r="R26">
        <v>0.122</v>
      </c>
      <c r="S26">
        <v>7.3999999999999996E-2</v>
      </c>
      <c r="T26" t="s">
        <v>91</v>
      </c>
      <c r="W26" t="s">
        <v>49</v>
      </c>
      <c r="X26" s="1">
        <v>-0.30862853839429899</v>
      </c>
      <c r="Y26" s="1">
        <v>5.23195997380623E-2</v>
      </c>
      <c r="Z26" s="1">
        <v>3.6591378815842299E-9</v>
      </c>
    </row>
    <row r="27" spans="1:26" x14ac:dyDescent="0.2">
      <c r="A27" t="s">
        <v>50</v>
      </c>
      <c r="L27" s="8">
        <v>-0.10199999999999999</v>
      </c>
      <c r="M27" s="8">
        <v>0.17299999999999999</v>
      </c>
      <c r="N27" s="8">
        <v>0.55500000000000005</v>
      </c>
      <c r="O27" s="8" t="s">
        <v>93</v>
      </c>
      <c r="Q27">
        <v>-3.4039999999999999</v>
      </c>
      <c r="R27">
        <v>0.70199999999999996</v>
      </c>
      <c r="S27">
        <v>0</v>
      </c>
      <c r="T27" t="s">
        <v>79</v>
      </c>
      <c r="W27" t="s">
        <v>50</v>
      </c>
      <c r="X27" s="1">
        <v>-1.1056063588774501</v>
      </c>
      <c r="Y27" s="1">
        <v>0.28383502437596098</v>
      </c>
      <c r="Z27" s="1">
        <v>9.8100376911602893E-5</v>
      </c>
    </row>
    <row r="28" spans="1:26" x14ac:dyDescent="0.2">
      <c r="A28" t="s">
        <v>51</v>
      </c>
      <c r="L28" s="8">
        <v>-0.17299999999999999</v>
      </c>
      <c r="M28" s="8">
        <v>0.16500000000000001</v>
      </c>
      <c r="N28" s="8">
        <v>0.29299999999999998</v>
      </c>
      <c r="O28" s="8" t="s">
        <v>93</v>
      </c>
      <c r="Q28">
        <v>-3.1709999999999998</v>
      </c>
      <c r="R28">
        <v>0.872</v>
      </c>
      <c r="S28">
        <v>0</v>
      </c>
      <c r="T28" t="s">
        <v>79</v>
      </c>
      <c r="W28" t="s">
        <v>51</v>
      </c>
      <c r="X28" s="1">
        <v>-1.13221191281707</v>
      </c>
      <c r="Y28" s="1">
        <v>0.29476897665822199</v>
      </c>
      <c r="Z28" s="1">
        <v>1.22526876979112E-4</v>
      </c>
    </row>
    <row r="29" spans="1:26" x14ac:dyDescent="0.2">
      <c r="A29" t="s">
        <v>52</v>
      </c>
      <c r="L29" s="8">
        <v>-0.84899999999999998</v>
      </c>
      <c r="M29" s="8">
        <v>0.20100000000000001</v>
      </c>
      <c r="N29" s="8">
        <v>0</v>
      </c>
      <c r="O29" s="8" t="s">
        <v>79</v>
      </c>
      <c r="Q29">
        <v>-0.60799999999999998</v>
      </c>
      <c r="R29">
        <v>0.56000000000000005</v>
      </c>
      <c r="S29">
        <v>0.27700000000000002</v>
      </c>
      <c r="T29" t="s">
        <v>93</v>
      </c>
      <c r="W29" t="s">
        <v>170</v>
      </c>
      <c r="X29" s="1">
        <v>-0.850212582576645</v>
      </c>
      <c r="Y29" s="1">
        <v>0.2761273743714</v>
      </c>
      <c r="Z29" s="1">
        <v>2.0765528710204898E-3</v>
      </c>
    </row>
    <row r="30" spans="1:26" x14ac:dyDescent="0.2">
      <c r="A30" t="s">
        <v>122</v>
      </c>
      <c r="Q30">
        <v>-4.5999999999999996</v>
      </c>
      <c r="R30">
        <v>1.1950000000000001</v>
      </c>
      <c r="S30">
        <v>0</v>
      </c>
      <c r="T30" t="s">
        <v>79</v>
      </c>
      <c r="X30" s="1"/>
      <c r="Y30" s="1"/>
      <c r="Z30" s="1"/>
    </row>
    <row r="31" spans="1:26" x14ac:dyDescent="0.2">
      <c r="A31" t="s">
        <v>57</v>
      </c>
      <c r="Q31">
        <v>-0.03</v>
      </c>
      <c r="R31">
        <v>6.8000000000000005E-2</v>
      </c>
      <c r="S31">
        <v>0.65700000000000003</v>
      </c>
      <c r="T31" t="s">
        <v>93</v>
      </c>
      <c r="X31" s="1"/>
      <c r="Y31" s="1"/>
      <c r="Z31" s="1"/>
    </row>
    <row r="32" spans="1:26" x14ac:dyDescent="0.2">
      <c r="A32" t="s">
        <v>58</v>
      </c>
      <c r="Q32">
        <v>1.0049999999999999</v>
      </c>
      <c r="R32">
        <v>0.21099999999999999</v>
      </c>
      <c r="S32">
        <v>0</v>
      </c>
      <c r="T32" t="s">
        <v>79</v>
      </c>
      <c r="X32" s="1"/>
      <c r="Y32" s="1"/>
      <c r="Z32" s="1"/>
    </row>
    <row r="33" spans="1:26" x14ac:dyDescent="0.2">
      <c r="A33" t="s">
        <v>59</v>
      </c>
      <c r="Q33">
        <v>-0.55000000000000004</v>
      </c>
      <c r="R33">
        <v>5.3999999999999999E-2</v>
      </c>
      <c r="S33">
        <v>0</v>
      </c>
      <c r="T33" t="s">
        <v>79</v>
      </c>
      <c r="X33" s="1"/>
      <c r="Y33" s="1"/>
      <c r="Z33" s="1"/>
    </row>
    <row r="34" spans="1:26" x14ac:dyDescent="0.2">
      <c r="A34" t="s">
        <v>60</v>
      </c>
      <c r="Q34">
        <v>-5.3999999999999999E-2</v>
      </c>
      <c r="R34">
        <v>0.16700000000000001</v>
      </c>
      <c r="S34">
        <v>0.748</v>
      </c>
      <c r="T34" t="s">
        <v>93</v>
      </c>
      <c r="X34" s="1"/>
      <c r="Y34" s="1"/>
      <c r="Z34" s="1"/>
    </row>
    <row r="35" spans="1:26" x14ac:dyDescent="0.2">
      <c r="A35" t="s">
        <v>61</v>
      </c>
      <c r="Q35">
        <v>-0.11600000000000001</v>
      </c>
      <c r="R35">
        <v>0.161</v>
      </c>
      <c r="S35">
        <v>0.47</v>
      </c>
      <c r="T35" t="s">
        <v>93</v>
      </c>
      <c r="X35" s="1"/>
      <c r="Y35" s="1"/>
      <c r="Z35" s="1"/>
    </row>
    <row r="36" spans="1:26" x14ac:dyDescent="0.2">
      <c r="A36" t="s">
        <v>62</v>
      </c>
      <c r="Q36">
        <v>-0.86299999999999999</v>
      </c>
      <c r="R36">
        <v>0.20100000000000001</v>
      </c>
      <c r="S36">
        <v>0</v>
      </c>
      <c r="T36" t="s">
        <v>79</v>
      </c>
      <c r="X36" s="1"/>
      <c r="Y36" s="1"/>
      <c r="Z36" s="1"/>
    </row>
    <row r="37" spans="1:26" x14ac:dyDescent="0.2">
      <c r="A37" t="s">
        <v>39</v>
      </c>
      <c r="G37">
        <v>0</v>
      </c>
      <c r="J37" t="s">
        <v>93</v>
      </c>
      <c r="L37" s="8">
        <v>0</v>
      </c>
      <c r="O37" s="8" t="s">
        <v>93</v>
      </c>
      <c r="Q37">
        <v>0</v>
      </c>
      <c r="T37" t="s">
        <v>93</v>
      </c>
      <c r="W37" t="s">
        <v>39</v>
      </c>
      <c r="X37" s="1"/>
      <c r="Y37" s="1"/>
      <c r="Z37" s="1"/>
    </row>
    <row r="38" spans="1:26" x14ac:dyDescent="0.2">
      <c r="A38" t="s">
        <v>40</v>
      </c>
      <c r="G38">
        <v>0</v>
      </c>
      <c r="J38" t="s">
        <v>93</v>
      </c>
      <c r="L38" s="8">
        <v>0</v>
      </c>
      <c r="O38" s="8" t="s">
        <v>93</v>
      </c>
      <c r="Q38">
        <v>0</v>
      </c>
      <c r="T38" t="s">
        <v>93</v>
      </c>
      <c r="W38" t="s">
        <v>40</v>
      </c>
      <c r="X38" s="1">
        <v>0</v>
      </c>
      <c r="Y38" s="1" t="s">
        <v>167</v>
      </c>
      <c r="Z38" s="1" t="s">
        <v>167</v>
      </c>
    </row>
    <row r="39" spans="1:26" x14ac:dyDescent="0.2">
      <c r="A39" t="s">
        <v>41</v>
      </c>
      <c r="G39">
        <v>0</v>
      </c>
      <c r="J39" t="s">
        <v>93</v>
      </c>
      <c r="L39" s="8">
        <v>0</v>
      </c>
      <c r="O39" s="8" t="s">
        <v>93</v>
      </c>
      <c r="Q39">
        <v>0</v>
      </c>
      <c r="T39" t="s">
        <v>93</v>
      </c>
      <c r="W39" t="s">
        <v>41</v>
      </c>
      <c r="X39" s="1">
        <v>0</v>
      </c>
      <c r="Y39" s="1" t="s">
        <v>167</v>
      </c>
      <c r="Z39" s="1" t="s">
        <v>167</v>
      </c>
    </row>
    <row r="40" spans="1:26" x14ac:dyDescent="0.2">
      <c r="A40" t="s">
        <v>42</v>
      </c>
      <c r="G40">
        <v>0</v>
      </c>
      <c r="J40" t="s">
        <v>93</v>
      </c>
      <c r="L40" s="8">
        <v>0</v>
      </c>
      <c r="O40" s="8" t="s">
        <v>93</v>
      </c>
      <c r="Q40">
        <v>0</v>
      </c>
      <c r="T40" t="s">
        <v>93</v>
      </c>
      <c r="W40" t="s">
        <v>42</v>
      </c>
      <c r="X40" s="1">
        <v>0</v>
      </c>
      <c r="Y40" s="1" t="s">
        <v>167</v>
      </c>
      <c r="Z40" s="1" t="s">
        <v>167</v>
      </c>
    </row>
    <row r="41" spans="1:26" x14ac:dyDescent="0.2">
      <c r="A41" t="s">
        <v>43</v>
      </c>
      <c r="G41">
        <v>-6.3E-2</v>
      </c>
      <c r="H41">
        <v>0.38700000000000001</v>
      </c>
      <c r="I41">
        <v>0.871</v>
      </c>
      <c r="J41" t="s">
        <v>93</v>
      </c>
      <c r="L41" s="8">
        <v>-0.67800000000000005</v>
      </c>
      <c r="M41" s="8">
        <v>0.46899999999999997</v>
      </c>
      <c r="N41" s="8">
        <v>0.14799999999999999</v>
      </c>
      <c r="O41" s="8" t="s">
        <v>93</v>
      </c>
      <c r="Q41">
        <v>-0.83199999999999996</v>
      </c>
      <c r="R41">
        <v>0.50600000000000001</v>
      </c>
      <c r="S41">
        <v>0.10100000000000001</v>
      </c>
      <c r="T41" t="s">
        <v>93</v>
      </c>
      <c r="W41" t="s">
        <v>43</v>
      </c>
      <c r="X41" s="1">
        <v>0</v>
      </c>
      <c r="Y41" s="1" t="s">
        <v>167</v>
      </c>
      <c r="Z41" s="1" t="s">
        <v>167</v>
      </c>
    </row>
    <row r="42" spans="1:26" x14ac:dyDescent="0.2">
      <c r="A42" t="s">
        <v>44</v>
      </c>
      <c r="G42">
        <v>-0.52800000000000002</v>
      </c>
      <c r="H42">
        <v>0.14499999999999999</v>
      </c>
      <c r="I42">
        <v>0</v>
      </c>
      <c r="J42" t="s">
        <v>79</v>
      </c>
      <c r="L42" s="8">
        <v>0.48599999999999999</v>
      </c>
      <c r="M42" s="8">
        <v>0.16800000000000001</v>
      </c>
      <c r="N42" s="8">
        <v>4.0000000000000001E-3</v>
      </c>
      <c r="O42" s="8" t="s">
        <v>92</v>
      </c>
      <c r="Q42">
        <v>0.69699999999999995</v>
      </c>
      <c r="R42">
        <v>0.20300000000000001</v>
      </c>
      <c r="S42">
        <v>1E-3</v>
      </c>
      <c r="T42" t="s">
        <v>79</v>
      </c>
      <c r="W42" t="s">
        <v>44</v>
      </c>
      <c r="X42" s="1">
        <v>-0.18919655647493699</v>
      </c>
      <c r="Y42" s="1">
        <v>0.50049408867989797</v>
      </c>
      <c r="Z42" s="1">
        <v>0.70541606156557302</v>
      </c>
    </row>
    <row r="43" spans="1:26" x14ac:dyDescent="0.2">
      <c r="A43" t="s">
        <v>45</v>
      </c>
      <c r="G43">
        <v>-0.193</v>
      </c>
      <c r="H43">
        <v>0.182</v>
      </c>
      <c r="I43">
        <v>0.28899999999999998</v>
      </c>
      <c r="J43" t="s">
        <v>93</v>
      </c>
      <c r="L43" s="8">
        <v>0.249</v>
      </c>
      <c r="M43" s="8">
        <v>0.222</v>
      </c>
      <c r="N43" s="8">
        <v>0.26200000000000001</v>
      </c>
      <c r="O43" s="8" t="s">
        <v>93</v>
      </c>
      <c r="Q43">
        <v>6.6000000000000003E-2</v>
      </c>
      <c r="R43">
        <v>0.252</v>
      </c>
      <c r="S43">
        <v>0.79300000000000004</v>
      </c>
      <c r="T43" t="s">
        <v>93</v>
      </c>
      <c r="W43" t="s">
        <v>45</v>
      </c>
      <c r="X43" s="1">
        <v>-1.7748752312890401E-2</v>
      </c>
      <c r="Y43" s="1">
        <v>0.144574772988804</v>
      </c>
      <c r="Z43" s="1">
        <v>0.90229302450905402</v>
      </c>
    </row>
    <row r="44" spans="1:26" x14ac:dyDescent="0.2">
      <c r="A44" t="s">
        <v>46</v>
      </c>
      <c r="G44">
        <v>0.375</v>
      </c>
      <c r="H44">
        <v>0.129</v>
      </c>
      <c r="I44">
        <v>4.0000000000000001E-3</v>
      </c>
      <c r="J44" t="s">
        <v>92</v>
      </c>
      <c r="L44" s="8">
        <v>-0.48</v>
      </c>
      <c r="M44" s="8">
        <v>0.154</v>
      </c>
      <c r="N44" s="8">
        <v>2E-3</v>
      </c>
      <c r="O44" s="8" t="s">
        <v>92</v>
      </c>
      <c r="Q44">
        <v>-0.45800000000000002</v>
      </c>
      <c r="R44">
        <v>0.17499999999999999</v>
      </c>
      <c r="S44">
        <v>8.9999999999999993E-3</v>
      </c>
      <c r="T44" t="s">
        <v>92</v>
      </c>
      <c r="W44" t="s">
        <v>46</v>
      </c>
      <c r="X44" s="1">
        <v>-4.7152843001920498E-2</v>
      </c>
      <c r="Y44" s="1">
        <v>0.22740425107079501</v>
      </c>
      <c r="Z44" s="1">
        <v>0.83573456547132896</v>
      </c>
    </row>
    <row r="45" spans="1:26" x14ac:dyDescent="0.2">
      <c r="A45" t="s">
        <v>53</v>
      </c>
      <c r="L45" s="8">
        <v>-0.39600000000000002</v>
      </c>
      <c r="M45" s="8">
        <v>0.46600000000000003</v>
      </c>
      <c r="N45" s="8">
        <v>0.39500000000000002</v>
      </c>
      <c r="O45" s="8" t="s">
        <v>93</v>
      </c>
      <c r="Q45">
        <v>-2.1890000000000001</v>
      </c>
      <c r="R45">
        <v>1.048</v>
      </c>
      <c r="S45">
        <v>3.6999999999999998E-2</v>
      </c>
      <c r="T45" t="s">
        <v>102</v>
      </c>
      <c r="W45" t="s">
        <v>53</v>
      </c>
      <c r="X45" s="1">
        <v>-0.24332861619115601</v>
      </c>
      <c r="Y45" s="1">
        <v>0.14688450762362201</v>
      </c>
      <c r="Z45" s="1">
        <v>9.7600729286379001E-2</v>
      </c>
    </row>
    <row r="46" spans="1:26" x14ac:dyDescent="0.2">
      <c r="A46" t="s">
        <v>54</v>
      </c>
      <c r="L46" s="8">
        <v>0.48799999999999999</v>
      </c>
      <c r="M46" s="8">
        <v>0.16900000000000001</v>
      </c>
      <c r="N46" s="8">
        <v>4.0000000000000001E-3</v>
      </c>
      <c r="O46" s="8" t="s">
        <v>92</v>
      </c>
      <c r="Q46">
        <v>0.66500000000000004</v>
      </c>
      <c r="R46">
        <v>0.34100000000000003</v>
      </c>
      <c r="S46">
        <v>5.0999999999999997E-2</v>
      </c>
      <c r="T46" t="s">
        <v>91</v>
      </c>
      <c r="W46" t="s">
        <v>54</v>
      </c>
      <c r="X46" s="1">
        <v>0.51203135425484603</v>
      </c>
      <c r="Y46" s="1">
        <v>0.48579300294286298</v>
      </c>
      <c r="Z46" s="1">
        <v>0.29187770623706999</v>
      </c>
    </row>
    <row r="47" spans="1:26" x14ac:dyDescent="0.2">
      <c r="A47" t="s">
        <v>55</v>
      </c>
      <c r="L47" s="8">
        <v>0.28999999999999998</v>
      </c>
      <c r="M47" s="8">
        <v>0.222</v>
      </c>
      <c r="N47" s="8">
        <v>0.191</v>
      </c>
      <c r="O47" s="8" t="s">
        <v>93</v>
      </c>
      <c r="Q47">
        <v>-0.61299999999999999</v>
      </c>
      <c r="R47">
        <v>0.39900000000000002</v>
      </c>
      <c r="S47">
        <v>0.125</v>
      </c>
      <c r="T47" t="s">
        <v>93</v>
      </c>
      <c r="W47" t="s">
        <v>55</v>
      </c>
      <c r="X47" s="1">
        <v>-0.48282713878403899</v>
      </c>
      <c r="Y47" s="1">
        <v>0.16792660990302399</v>
      </c>
      <c r="Z47" s="1">
        <v>4.0373699646203401E-3</v>
      </c>
    </row>
    <row r="48" spans="1:26" x14ac:dyDescent="0.2">
      <c r="A48" t="s">
        <v>56</v>
      </c>
      <c r="L48" s="8">
        <v>-0.21099999999999999</v>
      </c>
      <c r="M48" s="8">
        <v>0.155</v>
      </c>
      <c r="N48" s="8">
        <v>0.17399999999999999</v>
      </c>
      <c r="O48" s="8" t="s">
        <v>93</v>
      </c>
      <c r="Q48">
        <v>8.6999999999999994E-2</v>
      </c>
      <c r="R48">
        <v>0.29199999999999998</v>
      </c>
      <c r="S48">
        <v>0.76700000000000002</v>
      </c>
      <c r="T48" t="s">
        <v>93</v>
      </c>
      <c r="W48" t="s">
        <v>56</v>
      </c>
      <c r="X48" s="1">
        <v>-0.26768693936957899</v>
      </c>
      <c r="Y48" s="1">
        <v>0.21676818802981401</v>
      </c>
      <c r="Z48" s="1">
        <v>0.21686788835542301</v>
      </c>
    </row>
    <row r="49" spans="1:27" x14ac:dyDescent="0.2">
      <c r="A49" t="s">
        <v>63</v>
      </c>
      <c r="Q49">
        <v>-0.46100000000000002</v>
      </c>
      <c r="R49">
        <v>0.54</v>
      </c>
      <c r="S49">
        <v>0.39300000000000002</v>
      </c>
      <c r="T49" t="s">
        <v>93</v>
      </c>
      <c r="X49" s="1">
        <v>0.23115238006452399</v>
      </c>
      <c r="Y49" s="1">
        <v>0.15553328986444601</v>
      </c>
      <c r="Z49" s="1">
        <v>0.137228259793827</v>
      </c>
    </row>
    <row r="50" spans="1:27" x14ac:dyDescent="0.2">
      <c r="A50" t="s">
        <v>64</v>
      </c>
      <c r="Q50">
        <v>0.66300000000000003</v>
      </c>
      <c r="R50">
        <v>0.20599999999999999</v>
      </c>
      <c r="S50">
        <v>1E-3</v>
      </c>
      <c r="T50" t="s">
        <v>92</v>
      </c>
    </row>
    <row r="51" spans="1:27" x14ac:dyDescent="0.2">
      <c r="A51" t="s">
        <v>65</v>
      </c>
      <c r="Q51">
        <v>0.14799999999999999</v>
      </c>
      <c r="R51">
        <v>0.24199999999999999</v>
      </c>
      <c r="S51">
        <v>0.54</v>
      </c>
      <c r="T51" t="s">
        <v>93</v>
      </c>
    </row>
    <row r="52" spans="1:27" x14ac:dyDescent="0.2">
      <c r="A52" t="s">
        <v>66</v>
      </c>
      <c r="Q52">
        <v>-0.19400000000000001</v>
      </c>
      <c r="R52">
        <v>0.17499999999999999</v>
      </c>
      <c r="S52">
        <v>0.26800000000000002</v>
      </c>
      <c r="T52" t="s">
        <v>93</v>
      </c>
    </row>
    <row r="55" spans="1:27" x14ac:dyDescent="0.2">
      <c r="A55" t="s">
        <v>67</v>
      </c>
      <c r="F55" t="s">
        <v>80</v>
      </c>
      <c r="K55" s="7" t="s">
        <v>80</v>
      </c>
      <c r="P55" s="8" t="s">
        <v>80</v>
      </c>
      <c r="U55" t="s">
        <v>80</v>
      </c>
      <c r="AA55" t="s">
        <v>80</v>
      </c>
    </row>
    <row r="56" spans="1:27" x14ac:dyDescent="0.2">
      <c r="A56" t="s">
        <v>68</v>
      </c>
      <c r="F56" t="s">
        <v>81</v>
      </c>
      <c r="K56" s="7" t="s">
        <v>81</v>
      </c>
      <c r="P56" s="8" t="s">
        <v>81</v>
      </c>
      <c r="U56" t="s">
        <v>81</v>
      </c>
      <c r="AA56" t="s">
        <v>81</v>
      </c>
    </row>
    <row r="57" spans="1:27" x14ac:dyDescent="0.2">
      <c r="A57" t="s">
        <v>69</v>
      </c>
      <c r="F57" t="s">
        <v>82</v>
      </c>
      <c r="K57" s="7" t="s">
        <v>94</v>
      </c>
      <c r="P57" s="8" t="s">
        <v>103</v>
      </c>
      <c r="U57" t="s">
        <v>111</v>
      </c>
      <c r="AA57" s="2">
        <v>-3052.35</v>
      </c>
    </row>
    <row r="58" spans="1:27" x14ac:dyDescent="0.2">
      <c r="A58" t="s">
        <v>70</v>
      </c>
      <c r="F58" t="s">
        <v>82</v>
      </c>
      <c r="K58" s="7" t="s">
        <v>82</v>
      </c>
      <c r="P58" s="8" t="s">
        <v>82</v>
      </c>
      <c r="U58" t="s">
        <v>82</v>
      </c>
      <c r="AA58">
        <v>-3102.53</v>
      </c>
    </row>
    <row r="59" spans="1:27" x14ac:dyDescent="0.2">
      <c r="A59" t="s">
        <v>71</v>
      </c>
      <c r="F59" t="s">
        <v>83</v>
      </c>
      <c r="K59" s="7" t="s">
        <v>83</v>
      </c>
      <c r="P59" s="8" t="s">
        <v>83</v>
      </c>
      <c r="U59" t="s">
        <v>83</v>
      </c>
      <c r="AA59">
        <v>-2995.04</v>
      </c>
    </row>
    <row r="60" spans="1:27" x14ac:dyDescent="0.2">
      <c r="A60" t="s">
        <v>72</v>
      </c>
      <c r="F60" t="s">
        <v>84</v>
      </c>
      <c r="K60" s="7" t="s">
        <v>95</v>
      </c>
      <c r="P60" s="8" t="s">
        <v>104</v>
      </c>
      <c r="U60" t="s">
        <v>112</v>
      </c>
      <c r="AA60" s="2">
        <v>-2421.54</v>
      </c>
    </row>
    <row r="61" spans="1:27" x14ac:dyDescent="0.2">
      <c r="A61" t="s">
        <v>73</v>
      </c>
      <c r="F61" t="s">
        <v>85</v>
      </c>
      <c r="K61" s="7" t="s">
        <v>96</v>
      </c>
      <c r="P61" s="8" t="s">
        <v>105</v>
      </c>
      <c r="U61" t="s">
        <v>113</v>
      </c>
      <c r="AA61">
        <v>0.2195</v>
      </c>
    </row>
    <row r="62" spans="1:27" x14ac:dyDescent="0.2">
      <c r="A62" t="s">
        <v>74</v>
      </c>
      <c r="F62" t="s">
        <v>86</v>
      </c>
      <c r="K62" s="7" t="s">
        <v>97</v>
      </c>
      <c r="P62" s="8" t="s">
        <v>106</v>
      </c>
      <c r="U62" t="s">
        <v>114</v>
      </c>
      <c r="AA62">
        <v>0.21010000000000001</v>
      </c>
    </row>
    <row r="63" spans="1:27" x14ac:dyDescent="0.2">
      <c r="A63" t="s">
        <v>75</v>
      </c>
      <c r="F63" t="s">
        <v>87</v>
      </c>
      <c r="K63" s="7" t="s">
        <v>98</v>
      </c>
      <c r="P63" s="8" t="s">
        <v>107</v>
      </c>
      <c r="U63" t="s">
        <v>115</v>
      </c>
      <c r="AA63">
        <v>0.1915</v>
      </c>
    </row>
    <row r="64" spans="1:27" x14ac:dyDescent="0.2">
      <c r="A64" t="s">
        <v>76</v>
      </c>
      <c r="F64" t="s">
        <v>88</v>
      </c>
      <c r="K64" s="7" t="s">
        <v>99</v>
      </c>
      <c r="P64" s="8" t="s">
        <v>108</v>
      </c>
      <c r="U64" t="s">
        <v>116</v>
      </c>
      <c r="AA64">
        <v>0.18479999999999999</v>
      </c>
    </row>
    <row r="65" spans="1:29" x14ac:dyDescent="0.2">
      <c r="A65" t="s">
        <v>77</v>
      </c>
      <c r="F65" t="s">
        <v>89</v>
      </c>
      <c r="K65" s="7" t="s">
        <v>100</v>
      </c>
      <c r="P65" s="9" t="s">
        <v>109</v>
      </c>
      <c r="U65" t="s">
        <v>117</v>
      </c>
      <c r="AA65" s="17">
        <v>4901.08</v>
      </c>
    </row>
    <row r="66" spans="1:29" x14ac:dyDescent="0.2">
      <c r="A66" t="s">
        <v>78</v>
      </c>
      <c r="F66" t="s">
        <v>90</v>
      </c>
      <c r="K66" s="7" t="s">
        <v>101</v>
      </c>
      <c r="P66" s="9" t="s">
        <v>110</v>
      </c>
      <c r="U66" t="s">
        <v>118</v>
      </c>
      <c r="AA66" s="17">
        <v>5066.7700000000004</v>
      </c>
    </row>
    <row r="75" spans="1:29" x14ac:dyDescent="0.2">
      <c r="AC75" s="1" t="s">
        <v>171</v>
      </c>
    </row>
    <row r="76" spans="1:29" x14ac:dyDescent="0.2">
      <c r="AC76" s="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63B9-04C8-E04C-B2AF-072FD74F86EE}">
  <dimension ref="A1:T65"/>
  <sheetViews>
    <sheetView tabSelected="1" zoomScale="150" workbookViewId="0">
      <pane xSplit="4" ySplit="3" topLeftCell="E32" activePane="bottomRight" state="frozen"/>
      <selection pane="topRight" activeCell="D1" sqref="D1"/>
      <selection pane="bottomLeft" activeCell="A4" sqref="A4"/>
      <selection pane="bottomRight" activeCell="C45" sqref="C45"/>
    </sheetView>
  </sheetViews>
  <sheetFormatPr baseColWidth="10" defaultRowHeight="15" x14ac:dyDescent="0.2"/>
  <cols>
    <col min="1" max="2" width="10.83203125" style="24"/>
    <col min="3" max="3" width="9.1640625" style="24" customWidth="1"/>
    <col min="4" max="4" width="8" style="24" customWidth="1"/>
    <col min="5" max="8" width="10.83203125" style="24"/>
    <col min="9" max="9" width="12.6640625" style="24" customWidth="1"/>
    <col min="10" max="10" width="10.83203125" style="24"/>
    <col min="11" max="11" width="4" style="24" customWidth="1"/>
    <col min="12" max="14" width="13" style="24" customWidth="1"/>
    <col min="15" max="15" width="7.1640625" style="24" customWidth="1"/>
    <col min="16" max="17" width="14" style="25" customWidth="1"/>
    <col min="18" max="18" width="7.1640625" style="24" customWidth="1"/>
    <col min="19" max="19" width="42.1640625" style="24" customWidth="1"/>
    <col min="20" max="20" width="90.83203125" style="24" customWidth="1"/>
    <col min="21" max="16384" width="10.83203125" style="24"/>
  </cols>
  <sheetData>
    <row r="1" spans="1:20" s="13" customFormat="1" ht="41" customHeight="1" x14ac:dyDescent="0.2">
      <c r="A1" s="22" t="s">
        <v>159</v>
      </c>
      <c r="B1" s="23"/>
      <c r="C1" s="11"/>
      <c r="D1" s="12"/>
      <c r="E1" s="32" t="s">
        <v>147</v>
      </c>
      <c r="F1" s="32"/>
      <c r="G1" s="32"/>
      <c r="H1" s="32"/>
      <c r="I1" s="32"/>
      <c r="J1" s="32"/>
      <c r="K1" s="10"/>
      <c r="L1" s="32" t="s">
        <v>153</v>
      </c>
      <c r="M1" s="32"/>
      <c r="N1" s="32"/>
      <c r="P1" s="33" t="s">
        <v>158</v>
      </c>
      <c r="Q1" s="33"/>
      <c r="S1" s="14" t="s">
        <v>146</v>
      </c>
      <c r="T1" s="14" t="s">
        <v>139</v>
      </c>
    </row>
    <row r="2" spans="1:20" s="13" customFormat="1" ht="36" customHeight="1" x14ac:dyDescent="0.2">
      <c r="A2" s="13" t="s">
        <v>172</v>
      </c>
      <c r="B2" s="10" t="s">
        <v>129</v>
      </c>
      <c r="C2" s="11" t="s">
        <v>130</v>
      </c>
      <c r="D2" s="12" t="s">
        <v>131</v>
      </c>
      <c r="E2" s="10" t="s">
        <v>132</v>
      </c>
      <c r="F2" s="10" t="s">
        <v>124</v>
      </c>
      <c r="G2" s="10" t="s">
        <v>125</v>
      </c>
      <c r="H2" s="10" t="s">
        <v>126</v>
      </c>
      <c r="I2" s="10" t="s">
        <v>127</v>
      </c>
      <c r="J2" s="10" t="s">
        <v>128</v>
      </c>
      <c r="L2" s="10" t="s">
        <v>133</v>
      </c>
      <c r="M2" s="10" t="s">
        <v>134</v>
      </c>
      <c r="N2" s="10" t="s">
        <v>135</v>
      </c>
      <c r="P2" s="15" t="s">
        <v>156</v>
      </c>
      <c r="Q2" s="15" t="s">
        <v>157</v>
      </c>
    </row>
    <row r="3" spans="1:20" s="18" customFormat="1" ht="40" customHeight="1" x14ac:dyDescent="0.2">
      <c r="B3" s="19"/>
      <c r="C3" s="20"/>
      <c r="D3" s="21"/>
      <c r="E3" s="19"/>
      <c r="F3" s="19" t="s">
        <v>148</v>
      </c>
      <c r="G3" s="19" t="s">
        <v>149</v>
      </c>
      <c r="H3" s="19" t="s">
        <v>150</v>
      </c>
      <c r="I3" s="19" t="s">
        <v>151</v>
      </c>
      <c r="J3" s="19" t="s">
        <v>152</v>
      </c>
      <c r="L3" s="19" t="s">
        <v>154</v>
      </c>
      <c r="M3" s="19" t="s">
        <v>154</v>
      </c>
      <c r="N3" s="19" t="s">
        <v>155</v>
      </c>
      <c r="P3" s="19" t="s">
        <v>155</v>
      </c>
      <c r="Q3" s="19" t="s">
        <v>155</v>
      </c>
    </row>
    <row r="4" spans="1:20" ht="34" x14ac:dyDescent="0.2">
      <c r="A4" s="3" t="s">
        <v>160</v>
      </c>
      <c r="B4" s="24" t="s">
        <v>167</v>
      </c>
      <c r="C4" s="4">
        <v>1</v>
      </c>
      <c r="D4" s="5">
        <v>373</v>
      </c>
      <c r="E4" s="3">
        <v>-8.5519999999999996</v>
      </c>
      <c r="F4" s="3">
        <v>-0.66853189999999996</v>
      </c>
      <c r="G4" s="3">
        <v>1.6238931999999999</v>
      </c>
      <c r="H4" s="3">
        <v>-0.92270399999999997</v>
      </c>
      <c r="I4" s="3">
        <v>-1.1788794</v>
      </c>
      <c r="J4" s="3">
        <v>-1.4527574000000001</v>
      </c>
      <c r="L4" s="3">
        <v>0.1131438</v>
      </c>
      <c r="M4" s="3">
        <v>-6.6764110000000002E-2</v>
      </c>
      <c r="N4" s="3">
        <v>2.7238609999999999</v>
      </c>
    </row>
    <row r="5" spans="1:20" ht="16" x14ac:dyDescent="0.2">
      <c r="B5" s="3"/>
      <c r="C5" s="4"/>
      <c r="D5" s="5"/>
      <c r="E5" s="5"/>
      <c r="F5" s="3"/>
      <c r="G5" s="3"/>
      <c r="H5" s="3"/>
      <c r="I5" s="3"/>
      <c r="J5" s="3"/>
      <c r="K5" s="3"/>
      <c r="L5" s="3"/>
      <c r="M5" s="3"/>
      <c r="N5" s="3"/>
    </row>
    <row r="6" spans="1:20" ht="64" x14ac:dyDescent="0.2">
      <c r="A6" s="34" t="s">
        <v>173</v>
      </c>
      <c r="B6" s="3" t="s">
        <v>136</v>
      </c>
      <c r="C6" s="4">
        <v>0.44019999999999998</v>
      </c>
      <c r="D6" s="16">
        <f>C6*372</f>
        <v>163.7544</v>
      </c>
      <c r="E6" s="25">
        <v>-5.2396580000000004</v>
      </c>
      <c r="F6" s="25">
        <v>-2.0374949999999999E-2</v>
      </c>
      <c r="G6" s="25">
        <v>1.1751048399999999</v>
      </c>
      <c r="H6" s="25">
        <v>-0.63276858000000002</v>
      </c>
      <c r="I6" s="25">
        <v>-0.12012249999999999</v>
      </c>
      <c r="J6" s="25">
        <v>-0.20386099999999999</v>
      </c>
      <c r="K6" s="3"/>
      <c r="L6" s="25">
        <v>0.28438279999999999</v>
      </c>
      <c r="M6" s="25">
        <v>-5.5374939999999996E-3</v>
      </c>
      <c r="N6" s="25">
        <v>2.9583330000000001</v>
      </c>
      <c r="P6" s="26">
        <v>3.5628739999999999</v>
      </c>
      <c r="Q6" s="26">
        <v>3.1017960000000002</v>
      </c>
      <c r="S6" s="25" t="s">
        <v>181</v>
      </c>
      <c r="T6" s="24" t="s">
        <v>163</v>
      </c>
    </row>
    <row r="7" spans="1:20" ht="32" x14ac:dyDescent="0.2">
      <c r="A7" s="34"/>
      <c r="B7" s="3" t="s">
        <v>137</v>
      </c>
      <c r="C7" s="4">
        <v>0.34549999999999997</v>
      </c>
      <c r="D7" s="16">
        <f t="shared" ref="D7:D8" si="0">C7*372</f>
        <v>128.52599999999998</v>
      </c>
      <c r="E7" s="25">
        <v>-11.960948999999999</v>
      </c>
      <c r="F7" s="25">
        <v>-0.51352998999999999</v>
      </c>
      <c r="G7" s="27">
        <v>2.9108680000000001E-2</v>
      </c>
      <c r="H7" s="25">
        <v>-7.817404E-2</v>
      </c>
      <c r="I7" s="27">
        <v>-0.37394050000000001</v>
      </c>
      <c r="J7" s="25">
        <v>-0.57822169999999995</v>
      </c>
      <c r="K7" s="3"/>
      <c r="L7" s="25">
        <v>0.1916882</v>
      </c>
      <c r="M7" s="25">
        <v>-0.45784888699999998</v>
      </c>
      <c r="N7" s="25">
        <v>2.889764</v>
      </c>
      <c r="P7" s="26">
        <v>3.5118109999999998</v>
      </c>
      <c r="Q7" s="26">
        <v>2.9842520000000001</v>
      </c>
      <c r="S7" s="25" t="s">
        <v>182</v>
      </c>
      <c r="T7" s="24" t="s">
        <v>161</v>
      </c>
    </row>
    <row r="8" spans="1:20" ht="48" x14ac:dyDescent="0.2">
      <c r="A8" s="34"/>
      <c r="B8" s="3" t="s">
        <v>138</v>
      </c>
      <c r="C8" s="4">
        <v>0.21440000000000001</v>
      </c>
      <c r="D8" s="16">
        <f t="shared" si="0"/>
        <v>79.756799999999998</v>
      </c>
      <c r="E8" s="25">
        <v>-3.0156710000000002</v>
      </c>
      <c r="F8" s="27">
        <v>-0.49434567000000001</v>
      </c>
      <c r="G8" s="25">
        <v>1.0371760299999999</v>
      </c>
      <c r="H8" s="25">
        <v>-0.61609676000000002</v>
      </c>
      <c r="I8" s="27">
        <v>-2.5005600000000001</v>
      </c>
      <c r="J8" s="27">
        <v>-2.577448</v>
      </c>
      <c r="K8" s="3"/>
      <c r="L8" s="25">
        <v>-0.38356509999999999</v>
      </c>
      <c r="M8" s="25">
        <v>0.438129396</v>
      </c>
      <c r="N8" s="25">
        <v>1.948718</v>
      </c>
      <c r="P8" s="26">
        <v>3.0769229999999999</v>
      </c>
      <c r="Q8" s="26">
        <v>3.4871789999999998</v>
      </c>
      <c r="S8" s="25" t="s">
        <v>183</v>
      </c>
      <c r="T8" s="24" t="s">
        <v>162</v>
      </c>
    </row>
    <row r="13" spans="1:20" ht="16" x14ac:dyDescent="0.2">
      <c r="A13" s="34" t="s">
        <v>174</v>
      </c>
      <c r="B13" s="24" t="s">
        <v>136</v>
      </c>
      <c r="C13" s="28">
        <v>0.4239</v>
      </c>
      <c r="D13" s="16">
        <f t="shared" ref="D13:D15" si="1">C13*372</f>
        <v>157.6908</v>
      </c>
    </row>
    <row r="14" spans="1:20" ht="16" x14ac:dyDescent="0.2">
      <c r="A14" s="34"/>
      <c r="B14" s="24" t="s">
        <v>137</v>
      </c>
      <c r="C14" s="28">
        <v>0.34660000000000002</v>
      </c>
      <c r="D14" s="16">
        <f t="shared" si="1"/>
        <v>128.93520000000001</v>
      </c>
      <c r="K14" s="13"/>
      <c r="L14" s="13"/>
      <c r="M14" s="13"/>
      <c r="N14" s="13"/>
      <c r="O14" s="13"/>
      <c r="P14" s="15"/>
      <c r="Q14" s="15"/>
      <c r="R14" s="13"/>
      <c r="S14" s="13"/>
      <c r="T14" s="13"/>
    </row>
    <row r="15" spans="1:20" ht="16" x14ac:dyDescent="0.2">
      <c r="A15" s="34"/>
      <c r="B15" s="24" t="s">
        <v>138</v>
      </c>
      <c r="C15" s="28">
        <v>0.22950000000000001</v>
      </c>
      <c r="D15" s="16">
        <f t="shared" si="1"/>
        <v>85.374000000000009</v>
      </c>
      <c r="K15" s="13"/>
      <c r="L15" s="13"/>
      <c r="M15" s="13"/>
      <c r="N15" s="13"/>
      <c r="O15" s="13"/>
      <c r="P15" s="15"/>
      <c r="Q15" s="15"/>
      <c r="R15" s="13"/>
      <c r="S15" s="13"/>
      <c r="T15" s="13"/>
    </row>
    <row r="16" spans="1:20" x14ac:dyDescent="0.2">
      <c r="A16" s="23" t="s">
        <v>175</v>
      </c>
      <c r="L16" s="13"/>
      <c r="M16" s="13"/>
      <c r="N16" s="13"/>
      <c r="O16" s="13"/>
      <c r="P16" s="15"/>
      <c r="Q16" s="15"/>
      <c r="R16" s="13"/>
    </row>
    <row r="17" spans="1:17" x14ac:dyDescent="0.2">
      <c r="A17" s="23" t="s">
        <v>176</v>
      </c>
    </row>
    <row r="18" spans="1:17" x14ac:dyDescent="0.2">
      <c r="A18" s="23" t="s">
        <v>177</v>
      </c>
    </row>
    <row r="20" spans="1:17" ht="16" x14ac:dyDescent="0.2">
      <c r="D20" s="23" t="s">
        <v>178</v>
      </c>
      <c r="L20" s="3">
        <v>0.26943739999999999</v>
      </c>
      <c r="M20" s="3">
        <v>-1.0036700000000001E-2</v>
      </c>
      <c r="N20" s="3">
        <v>2.9454549999999999</v>
      </c>
      <c r="O20" s="3"/>
      <c r="P20" s="3">
        <v>3.5609760000000001</v>
      </c>
      <c r="Q20" s="3">
        <v>3.1158540000000001</v>
      </c>
    </row>
    <row r="21" spans="1:17" ht="16" x14ac:dyDescent="0.2">
      <c r="L21" s="3"/>
      <c r="M21" s="3"/>
      <c r="N21" s="3"/>
      <c r="O21" s="3"/>
      <c r="P21" s="3"/>
      <c r="Q21" s="3"/>
    </row>
    <row r="22" spans="1:17" ht="16" x14ac:dyDescent="0.2">
      <c r="D22" s="29">
        <v>1.5</v>
      </c>
      <c r="E22" s="3">
        <v>-2.5229200000000001</v>
      </c>
      <c r="F22" s="31">
        <v>5.4245450000000002E-3</v>
      </c>
      <c r="G22" s="3">
        <v>0.4842863</v>
      </c>
      <c r="H22" s="3">
        <v>-0.2593317</v>
      </c>
      <c r="I22" s="31">
        <v>-5.3207049999999999E-2</v>
      </c>
      <c r="J22" s="31">
        <v>-8.8383050000000005E-2</v>
      </c>
      <c r="L22" s="3"/>
      <c r="M22" s="3"/>
      <c r="N22" s="3"/>
      <c r="O22" s="3"/>
      <c r="P22" s="3"/>
      <c r="Q22" s="3"/>
    </row>
    <row r="23" spans="1:17" ht="16" x14ac:dyDescent="0.2">
      <c r="D23" s="29">
        <v>2.5</v>
      </c>
      <c r="E23" s="3">
        <v>-4.2048670000000001</v>
      </c>
      <c r="F23" s="31">
        <v>9.0409089999999998E-3</v>
      </c>
      <c r="G23" s="3">
        <v>0.80714379999999997</v>
      </c>
      <c r="H23" s="3">
        <v>-0.43221949999999998</v>
      </c>
      <c r="I23" s="31">
        <v>-8.8678419999999994E-2</v>
      </c>
      <c r="J23" s="31">
        <v>-0.14730509</v>
      </c>
      <c r="K23" s="13"/>
      <c r="L23" s="3"/>
      <c r="M23" s="3"/>
      <c r="N23" s="3"/>
      <c r="O23" s="3"/>
      <c r="P23" s="3"/>
      <c r="Q23" s="3"/>
    </row>
    <row r="24" spans="1:17" ht="16" x14ac:dyDescent="0.2">
      <c r="D24" s="30">
        <v>3.5</v>
      </c>
      <c r="E24" s="3">
        <v>-5.8868140000000002</v>
      </c>
      <c r="F24" s="31">
        <v>1.2657272000000001E-2</v>
      </c>
      <c r="G24" s="3">
        <v>1.1300014</v>
      </c>
      <c r="H24" s="3">
        <v>-0.60510719999999996</v>
      </c>
      <c r="I24" s="31">
        <v>-0.12414979</v>
      </c>
      <c r="J24" s="31">
        <v>-0.20622712000000001</v>
      </c>
      <c r="K24" s="13"/>
      <c r="L24" s="3"/>
      <c r="M24" s="3"/>
      <c r="N24" s="3"/>
      <c r="O24" s="3"/>
      <c r="P24" s="3"/>
      <c r="Q24" s="3"/>
    </row>
    <row r="25" spans="1:17" ht="16" x14ac:dyDescent="0.2">
      <c r="D25" s="30">
        <v>4.5</v>
      </c>
      <c r="E25" s="3">
        <v>-7.5687610000000003</v>
      </c>
      <c r="F25" s="31">
        <v>1.6273636000000001E-2</v>
      </c>
      <c r="G25" s="3">
        <v>1.4528589000000001</v>
      </c>
      <c r="H25" s="3">
        <v>-0.77799499999999999</v>
      </c>
      <c r="I25" s="31">
        <v>-0.15962116000000001</v>
      </c>
      <c r="J25" s="31">
        <v>-0.26514915999999999</v>
      </c>
      <c r="L25" s="3"/>
      <c r="M25" s="3"/>
      <c r="N25" s="3"/>
      <c r="O25" s="3"/>
      <c r="P25" s="3"/>
      <c r="Q25" s="3"/>
    </row>
    <row r="26" spans="1:17" ht="16" x14ac:dyDescent="0.2">
      <c r="D26" s="30">
        <v>5.5</v>
      </c>
      <c r="E26" s="3">
        <v>-9.2507079999999995</v>
      </c>
      <c r="F26" s="31">
        <v>1.9890000000000001E-2</v>
      </c>
      <c r="G26" s="3">
        <v>1.7757164000000001</v>
      </c>
      <c r="H26" s="3">
        <v>-0.95088280000000003</v>
      </c>
      <c r="I26" s="31">
        <v>-0.19509252999999999</v>
      </c>
      <c r="J26" s="31">
        <v>-0.32407119000000001</v>
      </c>
      <c r="L26" s="3"/>
      <c r="M26" s="3"/>
      <c r="N26" s="3"/>
      <c r="O26" s="3"/>
      <c r="P26" s="3"/>
      <c r="Q26" s="3"/>
    </row>
    <row r="27" spans="1:17" ht="16" x14ac:dyDescent="0.2">
      <c r="D27" s="30">
        <v>6.5</v>
      </c>
      <c r="E27" s="3">
        <v>-10.932653999999999</v>
      </c>
      <c r="F27" s="31">
        <v>2.3506362999999999E-2</v>
      </c>
      <c r="G27" s="3">
        <v>2.0985738999999999</v>
      </c>
      <c r="H27" s="3">
        <v>-1.1237706000000001</v>
      </c>
      <c r="I27" s="31">
        <v>-0.23056389999999999</v>
      </c>
      <c r="J27" s="31">
        <v>-0.38299323000000002</v>
      </c>
      <c r="L27" s="3"/>
      <c r="M27" s="3"/>
      <c r="N27" s="3"/>
      <c r="O27" s="3"/>
      <c r="P27" s="3"/>
      <c r="Q27" s="3"/>
    </row>
    <row r="28" spans="1:17" ht="16" x14ac:dyDescent="0.2">
      <c r="D28" s="30"/>
      <c r="E28" s="3"/>
      <c r="F28" s="3"/>
      <c r="G28" s="3"/>
      <c r="H28" s="3"/>
      <c r="I28" s="3"/>
      <c r="J28" s="3"/>
      <c r="L28" s="3"/>
      <c r="M28" s="3"/>
      <c r="N28" s="3"/>
      <c r="O28" s="3"/>
      <c r="P28" s="3"/>
      <c r="Q28" s="3"/>
    </row>
    <row r="29" spans="1:17" ht="16" x14ac:dyDescent="0.2">
      <c r="D29" s="23" t="s">
        <v>179</v>
      </c>
      <c r="E29" s="3"/>
      <c r="F29" s="3"/>
      <c r="G29" s="3"/>
      <c r="H29" s="3"/>
      <c r="I29" s="3"/>
      <c r="J29" s="3"/>
      <c r="L29" s="3">
        <v>0.2133893</v>
      </c>
      <c r="M29" s="3">
        <v>-0.45527709999999999</v>
      </c>
      <c r="N29" s="3">
        <v>2.9279999999999999</v>
      </c>
      <c r="O29" s="3"/>
      <c r="P29" s="3">
        <v>3.504</v>
      </c>
      <c r="Q29" s="3">
        <v>2.968</v>
      </c>
    </row>
    <row r="30" spans="1:17" ht="16" x14ac:dyDescent="0.2">
      <c r="D30" s="30"/>
      <c r="E30" s="3"/>
      <c r="F30" s="3"/>
      <c r="G30" s="3"/>
      <c r="H30" s="3"/>
      <c r="I30" s="3"/>
      <c r="J30" s="3"/>
      <c r="L30" s="3"/>
      <c r="M30" s="3"/>
      <c r="N30" s="3"/>
      <c r="O30" s="3"/>
      <c r="P30" s="3"/>
      <c r="Q30" s="3"/>
    </row>
    <row r="31" spans="1:17" ht="16" x14ac:dyDescent="0.2">
      <c r="D31" s="30">
        <v>1.5</v>
      </c>
      <c r="E31" s="3">
        <v>-4.5551640000000004</v>
      </c>
      <c r="F31" s="3">
        <v>-0.1724976</v>
      </c>
      <c r="G31" s="31">
        <v>1.458125E-2</v>
      </c>
      <c r="H31" s="3">
        <v>-2.6324340000000002E-2</v>
      </c>
      <c r="I31" s="31">
        <v>-0.1204315</v>
      </c>
      <c r="J31" s="3">
        <v>-0.19038669999999999</v>
      </c>
      <c r="L31" s="3"/>
      <c r="M31" s="3"/>
      <c r="N31" s="3"/>
      <c r="O31" s="3"/>
      <c r="P31" s="3"/>
      <c r="Q31" s="3"/>
    </row>
    <row r="32" spans="1:17" ht="16" x14ac:dyDescent="0.2">
      <c r="D32" s="30">
        <v>2.5</v>
      </c>
      <c r="E32" s="3">
        <v>-7.5919400000000001</v>
      </c>
      <c r="F32" s="3">
        <v>-0.28749599999999997</v>
      </c>
      <c r="G32" s="31">
        <v>2.430208E-2</v>
      </c>
      <c r="H32" s="3">
        <v>-4.3873889999999999E-2</v>
      </c>
      <c r="I32" s="31">
        <v>-0.20071919999999999</v>
      </c>
      <c r="J32" s="3">
        <v>-0.31731120000000002</v>
      </c>
      <c r="L32" s="3"/>
      <c r="M32" s="3"/>
      <c r="N32" s="3"/>
      <c r="O32" s="3"/>
      <c r="P32" s="3"/>
      <c r="Q32" s="3"/>
    </row>
    <row r="33" spans="4:17" ht="16" x14ac:dyDescent="0.2">
      <c r="D33" s="30">
        <v>3.5</v>
      </c>
      <c r="E33" s="3">
        <v>-10.628716000000001</v>
      </c>
      <c r="F33" s="3">
        <v>-0.40249439999999997</v>
      </c>
      <c r="G33" s="31">
        <v>3.4022910000000003E-2</v>
      </c>
      <c r="H33" s="3">
        <v>-6.1423449999999997E-2</v>
      </c>
      <c r="I33" s="31">
        <v>-0.2810069</v>
      </c>
      <c r="J33" s="3">
        <v>-0.44423570000000001</v>
      </c>
      <c r="L33" s="3"/>
      <c r="M33" s="3"/>
      <c r="N33" s="3"/>
      <c r="O33" s="3"/>
      <c r="P33" s="3"/>
      <c r="Q33" s="3"/>
    </row>
    <row r="34" spans="4:17" ht="16" x14ac:dyDescent="0.2">
      <c r="D34" s="30">
        <v>4.5</v>
      </c>
      <c r="E34" s="3">
        <v>-13.665492</v>
      </c>
      <c r="F34" s="3">
        <v>-0.51749279999999998</v>
      </c>
      <c r="G34" s="31">
        <v>4.3743749999999998E-2</v>
      </c>
      <c r="H34" s="3">
        <v>-7.8973009999999996E-2</v>
      </c>
      <c r="I34" s="31">
        <v>-0.36129460000000002</v>
      </c>
      <c r="J34" s="3">
        <v>-0.57116020000000001</v>
      </c>
      <c r="L34" s="3"/>
      <c r="M34" s="3"/>
      <c r="N34" s="3"/>
      <c r="O34" s="3"/>
      <c r="P34" s="3"/>
      <c r="Q34" s="3"/>
    </row>
    <row r="35" spans="4:17" ht="16" x14ac:dyDescent="0.2">
      <c r="D35" s="30">
        <v>5.5</v>
      </c>
      <c r="E35" s="3">
        <v>-16.702268</v>
      </c>
      <c r="F35" s="3">
        <v>-0.63249120000000003</v>
      </c>
      <c r="G35" s="31">
        <v>5.3464579999999998E-2</v>
      </c>
      <c r="H35" s="3">
        <v>-9.6522570000000002E-2</v>
      </c>
      <c r="I35" s="31">
        <v>-0.44158229999999998</v>
      </c>
      <c r="J35" s="3">
        <v>-0.6980847</v>
      </c>
      <c r="L35" s="3"/>
      <c r="M35" s="3"/>
      <c r="N35" s="3"/>
      <c r="O35" s="3"/>
      <c r="P35" s="3"/>
      <c r="Q35" s="3"/>
    </row>
    <row r="36" spans="4:17" ht="16" x14ac:dyDescent="0.2">
      <c r="D36" s="30">
        <v>6.5</v>
      </c>
      <c r="E36" s="3">
        <v>-19.739044</v>
      </c>
      <c r="F36" s="3">
        <v>-0.74748959999999998</v>
      </c>
      <c r="G36" s="31">
        <v>6.3185409999999997E-2</v>
      </c>
      <c r="H36" s="3">
        <v>-0.11407212</v>
      </c>
      <c r="I36" s="31">
        <v>-0.52186999999999995</v>
      </c>
      <c r="J36" s="3">
        <v>-0.8250092</v>
      </c>
      <c r="L36" s="3"/>
      <c r="M36" s="3"/>
      <c r="N36" s="3"/>
      <c r="O36" s="3"/>
      <c r="P36" s="3"/>
      <c r="Q36" s="3"/>
    </row>
    <row r="37" spans="4:17" ht="16" x14ac:dyDescent="0.2">
      <c r="D37" s="30"/>
      <c r="E37" s="3"/>
      <c r="F37" s="3"/>
      <c r="G37" s="3"/>
      <c r="H37" s="3"/>
      <c r="I37" s="3"/>
      <c r="J37" s="3"/>
      <c r="L37" s="3"/>
      <c r="M37" s="3"/>
      <c r="N37" s="3"/>
      <c r="O37" s="3"/>
      <c r="P37" s="3"/>
      <c r="Q37" s="3"/>
    </row>
    <row r="38" spans="4:17" ht="16" x14ac:dyDescent="0.2">
      <c r="D38" s="23" t="s">
        <v>180</v>
      </c>
      <c r="E38" s="3"/>
      <c r="F38" s="3"/>
      <c r="G38" s="3"/>
      <c r="H38" s="3"/>
      <c r="I38" s="3"/>
      <c r="J38" s="3"/>
      <c r="L38" s="3">
        <v>-0.34853250000000002</v>
      </c>
      <c r="M38" s="3">
        <v>0.4055745</v>
      </c>
      <c r="N38" s="3">
        <v>1.9759040000000001</v>
      </c>
      <c r="O38" s="3"/>
      <c r="P38" s="3">
        <v>3.120482</v>
      </c>
      <c r="Q38" s="3">
        <v>3.4578310000000001</v>
      </c>
    </row>
    <row r="39" spans="4:17" ht="16" x14ac:dyDescent="0.2">
      <c r="D39" s="30"/>
      <c r="E39" s="3"/>
      <c r="F39" s="3"/>
      <c r="G39" s="3"/>
      <c r="H39" s="3"/>
      <c r="I39" s="3"/>
      <c r="J39" s="3"/>
    </row>
    <row r="40" spans="4:17" ht="16" x14ac:dyDescent="0.2">
      <c r="D40" s="30">
        <v>1.5</v>
      </c>
      <c r="E40" s="31">
        <v>-1.5166790000000001</v>
      </c>
      <c r="F40" s="3">
        <v>-0.42663830000000003</v>
      </c>
      <c r="G40" s="3">
        <v>0.93326710000000002</v>
      </c>
      <c r="H40" s="3">
        <v>-0.54450240000000005</v>
      </c>
      <c r="I40" s="3">
        <v>-1.950582</v>
      </c>
      <c r="J40" s="3">
        <v>-1.9975210000000001</v>
      </c>
    </row>
    <row r="41" spans="4:17" ht="16" x14ac:dyDescent="0.2">
      <c r="D41" s="30">
        <v>2.5</v>
      </c>
      <c r="E41" s="31">
        <v>-2.5277980000000002</v>
      </c>
      <c r="F41" s="3">
        <v>-0.71106389999999997</v>
      </c>
      <c r="G41" s="3">
        <v>1.5554452000000001</v>
      </c>
      <c r="H41" s="3">
        <v>-0.90750399999999998</v>
      </c>
      <c r="I41" s="3">
        <v>-3.2509700000000001</v>
      </c>
      <c r="J41" s="3">
        <v>-3.329202</v>
      </c>
    </row>
    <row r="42" spans="4:17" ht="16" x14ac:dyDescent="0.2">
      <c r="D42" s="29">
        <v>3.5</v>
      </c>
      <c r="E42" s="31">
        <v>-3.5389170000000001</v>
      </c>
      <c r="F42" s="3">
        <v>-0.99548939999999997</v>
      </c>
      <c r="G42" s="3">
        <v>2.1776232000000002</v>
      </c>
      <c r="H42" s="3">
        <v>-1.2705055999999999</v>
      </c>
      <c r="I42" s="3">
        <v>-4.5513579999999996</v>
      </c>
      <c r="J42" s="3">
        <v>-4.6608830000000001</v>
      </c>
    </row>
    <row r="43" spans="4:17" ht="16" x14ac:dyDescent="0.2">
      <c r="D43" s="29">
        <v>4.5</v>
      </c>
      <c r="E43" s="31">
        <v>-4.5500360000000004</v>
      </c>
      <c r="F43" s="3">
        <v>-1.2799149999999999</v>
      </c>
      <c r="G43" s="3">
        <v>2.7998012999999999</v>
      </c>
      <c r="H43" s="3">
        <v>-1.6335073</v>
      </c>
      <c r="I43" s="3">
        <v>-5.8517469999999996</v>
      </c>
      <c r="J43" s="3">
        <v>-5.9925639999999998</v>
      </c>
    </row>
    <row r="44" spans="4:17" ht="16" x14ac:dyDescent="0.2">
      <c r="D44" s="29">
        <v>5.5</v>
      </c>
      <c r="E44" s="31">
        <v>-5.5611550000000003</v>
      </c>
      <c r="F44" s="3">
        <v>-1.5643404999999999</v>
      </c>
      <c r="G44" s="3">
        <v>3.4219794000000001</v>
      </c>
      <c r="H44" s="3">
        <v>-1.9965089</v>
      </c>
      <c r="I44" s="3">
        <v>-7.1521350000000004</v>
      </c>
      <c r="J44" s="3">
        <v>-7.3242450000000003</v>
      </c>
    </row>
    <row r="45" spans="4:17" ht="16" x14ac:dyDescent="0.2">
      <c r="D45" s="29">
        <v>6.5</v>
      </c>
      <c r="E45" s="31">
        <v>-6.5722740000000002</v>
      </c>
      <c r="F45" s="3">
        <v>-1.8487661</v>
      </c>
      <c r="G45" s="3">
        <v>4.0441573999999996</v>
      </c>
      <c r="H45" s="3">
        <v>-2.3595104999999998</v>
      </c>
      <c r="I45" s="3">
        <v>-8.4525229999999993</v>
      </c>
      <c r="J45" s="3">
        <v>-8.6559259999999991</v>
      </c>
    </row>
    <row r="51" spans="5:5" x14ac:dyDescent="0.2">
      <c r="E51" s="29"/>
    </row>
    <row r="52" spans="5:5" x14ac:dyDescent="0.2">
      <c r="E52" s="29"/>
    </row>
    <row r="53" spans="5:5" x14ac:dyDescent="0.2">
      <c r="E53" s="29"/>
    </row>
    <row r="54" spans="5:5" x14ac:dyDescent="0.2">
      <c r="E54" s="29"/>
    </row>
    <row r="55" spans="5:5" x14ac:dyDescent="0.2">
      <c r="E55" s="29"/>
    </row>
    <row r="56" spans="5:5" x14ac:dyDescent="0.2">
      <c r="E56" s="29"/>
    </row>
    <row r="60" spans="5:5" x14ac:dyDescent="0.2">
      <c r="E60" s="29"/>
    </row>
    <row r="61" spans="5:5" x14ac:dyDescent="0.2">
      <c r="E61" s="29"/>
    </row>
    <row r="62" spans="5:5" x14ac:dyDescent="0.2">
      <c r="E62" s="29"/>
    </row>
    <row r="63" spans="5:5" x14ac:dyDescent="0.2">
      <c r="E63" s="29"/>
    </row>
    <row r="64" spans="5:5" x14ac:dyDescent="0.2">
      <c r="E64" s="29"/>
    </row>
    <row r="65" spans="5:5" x14ac:dyDescent="0.2">
      <c r="E65" s="29"/>
    </row>
  </sheetData>
  <mergeCells count="5">
    <mergeCell ref="L1:N1"/>
    <mergeCell ref="E1:J1"/>
    <mergeCell ref="P1:Q1"/>
    <mergeCell ref="A6:A8"/>
    <mergeCell ref="A13:A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86EE-5BF0-4046-9689-F584354080F1}">
  <dimension ref="A1:C7"/>
  <sheetViews>
    <sheetView zoomScale="162" workbookViewId="0">
      <selection activeCell="A17" sqref="A17"/>
    </sheetView>
  </sheetViews>
  <sheetFormatPr baseColWidth="10" defaultRowHeight="15" x14ac:dyDescent="0.2"/>
  <cols>
    <col min="1" max="1" width="87.33203125" customWidth="1"/>
  </cols>
  <sheetData>
    <row r="1" spans="1:3" ht="34" x14ac:dyDescent="0.2">
      <c r="B1" s="3" t="s">
        <v>133</v>
      </c>
      <c r="C1" s="3" t="s">
        <v>134</v>
      </c>
    </row>
    <row r="2" spans="1:3" ht="16" x14ac:dyDescent="0.2">
      <c r="A2" s="6" t="s">
        <v>140</v>
      </c>
      <c r="B2">
        <v>0.61</v>
      </c>
    </row>
    <row r="3" spans="1:3" ht="16" x14ac:dyDescent="0.2">
      <c r="A3" s="6" t="s">
        <v>141</v>
      </c>
      <c r="B3">
        <v>0.93</v>
      </c>
    </row>
    <row r="4" spans="1:3" ht="16" x14ac:dyDescent="0.2">
      <c r="A4" s="6" t="s">
        <v>142</v>
      </c>
      <c r="B4">
        <v>0.77</v>
      </c>
    </row>
    <row r="5" spans="1:3" ht="16" x14ac:dyDescent="0.2">
      <c r="A5" s="6" t="s">
        <v>143</v>
      </c>
      <c r="C5">
        <v>0.68</v>
      </c>
    </row>
    <row r="6" spans="1:3" ht="16" x14ac:dyDescent="0.2">
      <c r="A6" s="6" t="s">
        <v>144</v>
      </c>
      <c r="C6">
        <v>0.55000000000000004</v>
      </c>
    </row>
    <row r="7" spans="1:3" ht="16" x14ac:dyDescent="0.2">
      <c r="A7" s="6" t="s">
        <v>145</v>
      </c>
      <c r="C7">
        <v>0.66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coef_fit</vt:lpstr>
      <vt:lpstr>WTP_interpretation</vt:lpstr>
      <vt:lpstr>Factor_analysis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Iogansen, Xiatian (Assoc)</cp:lastModifiedBy>
  <dcterms:created xsi:type="dcterms:W3CDTF">2025-11-12T07:33:53Z</dcterms:created>
  <dcterms:modified xsi:type="dcterms:W3CDTF">2025-11-12T15:44:01Z</dcterms:modified>
</cp:coreProperties>
</file>